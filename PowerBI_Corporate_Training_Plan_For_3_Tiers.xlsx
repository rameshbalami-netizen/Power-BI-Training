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ier Guide" sheetId="2" state="visible" r:id="rId4"/>
    <sheet name="Schedule Planner" sheetId="3" state="visible" r:id="rId5"/>
    <sheet name="Tier 1 Consumers" sheetId="4" state="visible" r:id="rId6"/>
    <sheet name="Tier 2 Creators" sheetId="5" state="visible" r:id="rId7"/>
    <sheet name="Tier 3 Builders" sheetId="6" state="visible" r:id="rId8"/>
    <sheet name="Assessment Log" sheetId="7" state="visible" r:id="rId9"/>
  </sheets>
  <definedNames>
    <definedName function="false" hidden="false" localSheetId="3" name="_xlnm.Print_Titles" vbProcedure="false">'Tier 1 Consumers'!$4:$4</definedName>
    <definedName function="false" hidden="true" localSheetId="3" name="_xlnm._FilterDatabase" vbProcedure="false">'Tier 1 Consumers'!$A$4:$L$8</definedName>
    <definedName function="false" hidden="false" localSheetId="4" name="_xlnm.Print_Titles" vbProcedure="false">'Tier 2 Creators'!$4:$4</definedName>
    <definedName function="false" hidden="true" localSheetId="4" name="_xlnm._FilterDatabase" vbProcedure="false">'Tier 2 Creators'!$A$4:$L$16</definedName>
    <definedName function="false" hidden="false" localSheetId="5" name="_xlnm.Print_Titles" vbProcedure="false">'Tier 3 Builders'!$4:$4</definedName>
    <definedName function="false" hidden="true" localSheetId="5" name="_xlnm._FilterDatabase" vbProcedure="false">'Tier 3 Builders'!$A$4:$L$34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<sst xmlns="http://schemas.openxmlformats.org/spreadsheetml/2006/main" count="464" uniqueCount="258">
  <si>
    <t xml:space="preserve">Power BI Corporate Training: 3-Tier Programme Tracker</t>
  </si>
  <si>
    <t xml:space="preserve">Tier 1 Consumers | Tier 2 Creators | Tier 3 Builders. Each session is a 2-hour block, so the content can be delivered on any calendar pattern.</t>
  </si>
  <si>
    <t xml:space="preserve">Programme progress by tier</t>
  </si>
  <si>
    <t xml:space="preserve">Tier</t>
  </si>
  <si>
    <t xml:space="preserve">Audience</t>
  </si>
  <si>
    <t xml:space="preserve">Sessions</t>
  </si>
  <si>
    <t xml:space="preserve">Planned Hrs</t>
  </si>
  <si>
    <t xml:space="preserve">Completed</t>
  </si>
  <si>
    <t xml:space="preserve">% Complete</t>
  </si>
  <si>
    <t xml:space="preserve">Actual Hrs</t>
  </si>
  <si>
    <t xml:space="preserve">Start Date</t>
  </si>
  <si>
    <t xml:space="preserve">Last Session</t>
  </si>
  <si>
    <t xml:space="preserve">Tier 1: Report Consumers</t>
  </si>
  <si>
    <t xml:space="preserve">Managers, executives and business users who read and act on dashboards</t>
  </si>
  <si>
    <t xml:space="preserve">Tier 2: Report Creators</t>
  </si>
  <si>
    <t xml:space="preserve">Business, finance and MIS analysts who build reports from existing or simple datasets</t>
  </si>
  <si>
    <t xml:space="preserve">Tier 3: Data &amp; Model Builders</t>
  </si>
  <si>
    <t xml:space="preserve">BI developers and reporting analysts who own and maintain datasets (PL-300 equivalent)</t>
  </si>
  <si>
    <t xml:space="preserve">Progress by module</t>
  </si>
  <si>
    <t xml:space="preserve">Module</t>
  </si>
  <si>
    <t xml:space="preserve">1. Power BI Foundations</t>
  </si>
  <si>
    <t xml:space="preserve">2. Explore &amp; Interact with Reports</t>
  </si>
  <si>
    <t xml:space="preserve">3. Share &amp; Stay Informed</t>
  </si>
  <si>
    <t xml:space="preserve">1. Data Connect &amp; Data Preparation</t>
  </si>
  <si>
    <t xml:space="preserve">2. Data Model &amp; DAX (Core)</t>
  </si>
  <si>
    <t xml:space="preserve">3. Visualisations</t>
  </si>
  <si>
    <t xml:space="preserve">4. Maintenance &amp; Security (Essentials)</t>
  </si>
  <si>
    <t xml:space="preserve">2. Data Model &amp; DAX</t>
  </si>
  <si>
    <t xml:space="preserve">4. Maintenance &amp; Security</t>
  </si>
  <si>
    <t xml:space="preserve">5. Mock Exams &amp; Revision</t>
  </si>
  <si>
    <t xml:space="preserve">How to use this workbook</t>
  </si>
  <si>
    <t xml:space="preserve">Yellow cells with blue text are yours to edit: start dates, training days and sessions per day on Schedule Planner; Status, Actual Hrs and Notes on each tier sheet; Date, Score and Max Score on Assessment Log. Everything else calculates.</t>
  </si>
  <si>
    <t xml:space="preserve">Scheduling: the content is split into 2-hour sessions with no fixed calendar. On Schedule Planner, pick the start date, the weekdays the client can attend (1 or 0) and sessions per training day. For a Saturday and Sunday client, set Sat and Sun to 1 and use 2 sessions per day.</t>
  </si>
  <si>
    <t xml:space="preserve">Set Status to Completed on a tier sheet and this Overview updates completion, hours and module progress automatically.</t>
  </si>
  <si>
    <t xml:space="preserve">Pick the tier by role: see Tier Guide for audience, entry level, outcomes and example delivery patterns. The three tiers are independent, so a client can run just one or several.</t>
  </si>
  <si>
    <t xml:space="preserve">Planned Hrs is 2 per session (editable on each tier sheet). Public holidays are not excluded from the calculated dates.</t>
  </si>
  <si>
    <t xml:space="preserve">Tier Guide</t>
  </si>
  <si>
    <t xml:space="preserve">Choose the tier by how each employee uses Power BI. Sessions and hours pull from the tier sheets.</t>
  </si>
  <si>
    <t xml:space="preserve">Entry level</t>
  </si>
  <si>
    <t xml:space="preserve">What they can do afterwards</t>
  </si>
  <si>
    <t xml:space="preserve">Not covered</t>
  </si>
  <si>
    <t xml:space="preserve">Total Hrs</t>
  </si>
  <si>
    <t xml:space="preserve">Example delivery</t>
  </si>
  <si>
    <t xml:space="preserve">No Power BI experience needed; basic comfort with Excel helps</t>
  </si>
  <si>
    <t xml:space="preserve">Navigate the Power BI Service, read visuals correctly, filter and drill into reports, export, subscribe and set alerts, and follow data-handling rules</t>
  </si>
  <si>
    <t xml:space="preserve">Data preparation, data modelling, DAX and building reports</t>
  </si>
  <si>
    <t xml:space="preserve">Two 4-hour training days (2 sessions per day), or 4 short evening sessions</t>
  </si>
  <si>
    <t xml:space="preserve">Comfortable with Excel formulas and pivot tables; Tier 1 content or equivalent</t>
  </si>
  <si>
    <t xml:space="preserve">Load and clean data, build a simple star-schema model, write core DAX measures including time intelligence basics, design interactive reports, publish and share through the Service</t>
  </si>
  <si>
    <t xml:space="preserve">Advanced DAX and performance tuning, gateways, incremental refresh, implementing row-level security, deployment pipelines</t>
  </si>
  <si>
    <t xml:space="preserve">3 weekends with Saturday and Sunday at 2 sessions per day, or 3 weeks at 4 sessions per week</t>
  </si>
  <si>
    <t xml:space="preserve">Strong Excel and preferably SQL; Tier 2 skills or equivalent hands-on experience</t>
  </si>
  <si>
    <t xml:space="preserve">PL-300-equivalent skills: full data preparation, modelling, advanced DAX, performance tuning, visualisation and AI features, workspace administration, refresh and gateways, row-level and object-level security</t>
  </si>
  <si>
    <t xml:space="preserve">Fabric-specific engineering (lakehouses, pipelines) and Power BI admin-portal tenant settings</t>
  </si>
  <si>
    <t xml:space="preserve">Around 6 weeks at 5 sessions per week, or 8 weekends at 4 sessions per weekend. Sessions 28-30 (mock exams) are optional for clients not seeking certification</t>
  </si>
  <si>
    <t xml:space="preserve">Tier 3 module weights follow Microsoft's PL-300 skills measured (roughly 25-30% each for prepare, model and visualise; 15-20% for manage and secure). Check the current study guide, as objectives are updated from time to time.</t>
  </si>
  <si>
    <t xml:space="preserve">Schedule Planner</t>
  </si>
  <si>
    <t xml:space="preserve">Set the training days for each tier. Session dates on the tier sheets calculate from these inputs. Nothing here assumes weekdays.</t>
  </si>
  <si>
    <t xml:space="preserve">Helper calendar: Tier 1: Report Consumers (do not edit)</t>
  </si>
  <si>
    <t xml:space="preserve">Helper calendar: Tier 2: Report Creators (do not edit)</t>
  </si>
  <si>
    <t xml:space="preserve">Helper calendar: Tier 3: Data &amp; Model Builders (do not edit)</t>
  </si>
  <si>
    <t xml:space="preserve">Date</t>
  </si>
  <si>
    <t xml:space="preserve">Held?</t>
  </si>
  <si>
    <t xml:space="preserve">Cumulative</t>
  </si>
  <si>
    <t xml:space="preserve">Start date</t>
  </si>
  <si>
    <t xml:space="preserve">&lt;- placeholder, edit</t>
  </si>
  <si>
    <t xml:space="preserve">Training 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</si>
  <si>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</si>
  <si>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</si>
  <si>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</si>
  <si>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</si>
  <si>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</si>
  <si>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</si>
  <si>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</si>
  <si>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Held on this day? (1 = yes, 0 = no)</t>
  </si>
  <si>
    <t xml:space="preserve">Sessions per training day (1 session = 2 hrs)</t>
  </si>
  <si>
    <t xml:space="preserve">Total sessions</t>
  </si>
  <si>
    <t xml:space="preserve">Training days needed</t>
  </si>
  <si>
    <t xml:space="preserve">Last session date</t>
  </si>
  <si>
    <t xml:space="preserve">How to use: set the Start date, mark the weekdays the client can attend with 1 (others 0), and choose sessions per training day. Every session is a 2-hour block.</t>
  </si>
  <si>
    <t xml:space="preserve">Weekend-only client: set Sat = 1 and Sun = 1, all other days = 0. With 2 sessions per training day each Saturday and Sunday is a 4-hour day, so Tier 2 (12 sessions) finishes in 3 weekends.</t>
  </si>
  <si>
    <t xml:space="preserve">Any other pattern works the same way (for example Tue/Thu evenings with 1 session per day). Defaults are Mon-Fri with 1 session per day, only as a starting point.</t>
  </si>
  <si>
    <t xml:space="preserve">Helper calendar columns K:S are hidden and drive the dates. Public holidays are not excluded; shift the dates on the tier sheet manually if needed.</t>
  </si>
  <si>
    <t xml:space="preserve">Tier 1: Report Consumers: 4 sessions x 2 hours</t>
  </si>
  <si>
    <t xml:space="preserve">Audience: Managers, executives and business users who read and act on dashboards. Yellow columns are yours to edit; dates come from the Schedule Planner sheet.</t>
  </si>
  <si>
    <t xml:space="preserve">Session</t>
  </si>
  <si>
    <t xml:space="preserve">Training Day #</t>
  </si>
  <si>
    <t xml:space="preserve">Day</t>
  </si>
  <si>
    <t xml:space="preserve">Topic</t>
  </si>
  <si>
    <t xml:space="preserve">Key Concepts</t>
  </si>
  <si>
    <t xml:space="preserve">Hands-on Lab</t>
  </si>
  <si>
    <t xml:space="preserve">Status</t>
  </si>
  <si>
    <t xml:space="preserve">Notes / Mistakes Log</t>
  </si>
  <si>
    <t xml:space="preserve">Power BI orientation &amp; navigation</t>
  </si>
  <si>
    <t xml:space="preserve">What Power BI is; Desktop vs Service vs Mobile (what consumers actually use); workspaces, apps, reports vs dashboards; Home, Browse, Favourites, Recent; checking data freshness (last refresh)</t>
  </si>
  <si>
    <t xml:space="preserve">Sign in, find and favourite three reports, open an app, locate the last refresh time</t>
  </si>
  <si>
    <t xml:space="preserve">Not Started</t>
  </si>
  <si>
    <t xml:space="preserve">Reading visuals correctly</t>
  </si>
  <si>
    <t xml:space="preserve">Best-fit visual by data relationship: clustered bar/column (comparison), line (trend over time), stacked bar or treemap (part-to-whole), scatter (correlation), waterfall (variance/bridge), sorted bar (ranking), card/KPI (single value), table/matrix (detail), filled or bubble map (geography); reading axes, legends and totals; common misreads (truncated axes, dual axes, overloaded pies)</t>
  </si>
  <si>
    <t xml:space="preserve">Interpret a supplied sales dashboard and answer 10 business questions</t>
  </si>
  <si>
    <t xml:space="preserve">Interacting with reports</t>
  </si>
  <si>
    <t xml:space="preserve">Slicers and the filters pane; cross-filtering and highlighting; drill-down and drillthrough; bookmarks and tooltips; Personalise visuals; See data / Show as table; Q&amp;A and Copilot (if licensed)</t>
  </si>
  <si>
    <t xml:space="preserve">Answer business questions from a live report using interaction only</t>
  </si>
  <si>
    <t xml:space="preserve">Sharing, alerts &amp; data handling</t>
  </si>
  <si>
    <t xml:space="preserve">Export to Excel / PDF / PowerPoint and its limits; Analyze in Excel; subscriptions and alerts; mobile app; sharing and permission awareness; sensitivity labels and responsible data use; raising a data issue; end-of-course knowledge check</t>
  </si>
  <si>
    <t xml:space="preserve">Set up a subscription and an alert, export a filtered view, complete the knowledge check</t>
  </si>
  <si>
    <t xml:space="preserve">Total</t>
  </si>
  <si>
    <t xml:space="preserve">Tier 2: Report Creators: 12 sessions x 2 hours</t>
  </si>
  <si>
    <t xml:space="preserve">Audience: Business, finance and MIS analysts who build reports from existing or simple datasets. Yellow columns are yours to edit; dates come from the Schedule Planner sheet.</t>
  </si>
  <si>
    <t xml:space="preserve">Power BI overview &amp; connecting to data</t>
  </si>
  <si>
    <t xml:space="preserve">Desktop-to-Service workflow; Import vs DirectQuery (when each is used); connecting to Excel, CSV, SQL Server and SharePoint; credentials and privacy levels</t>
  </si>
  <si>
    <t xml:space="preserve">Install Desktop, connect to three sources and load them</t>
  </si>
  <si>
    <t xml:space="preserve">Cleaning data with Power Query</t>
  </si>
  <si>
    <t xml:space="preserve">Power Query Editor and applied steps; column profiling; data types; errors and blanks; trim, replace, split, fill down, remove duplicates; filtering rows</t>
  </si>
  <si>
    <t xml:space="preserve">Clean a messy sales extract</t>
  </si>
  <si>
    <t xml:space="preserve">Shaping &amp; combining data</t>
  </si>
  <si>
    <t xml:space="preserve">Merge and append queries; Group By; pivot and unpivot; conditional and custom columns; combining files from a folder</t>
  </si>
  <si>
    <t xml:space="preserve">Combine sales, customer and product tables; Module 1 checkpoint quiz</t>
  </si>
  <si>
    <t xml:space="preserve">Star schema &amp; relationships</t>
  </si>
  <si>
    <t xml:space="preserve">Fact vs dimension tables; cardinality; cross-filter direction; active vs inactive relationships; building and marking a date table</t>
  </si>
  <si>
    <t xml:space="preserve">Build a star schema and test the relationships with a matrix</t>
  </si>
  <si>
    <t xml:space="preserve">Model tidy-up &amp; DAX fundamentals</t>
  </si>
  <si>
    <t xml:space="preserve">Hide fields, formats, hierarchies, sort by column; calculated columns vs measures; SUM, AVERAGE, COUNT, DISTINCTCOUNT, DIVIDE</t>
  </si>
  <si>
    <t xml:space="preserve">Write 8 core measures and organise them in a measures table</t>
  </si>
  <si>
    <t xml:space="preserve">CALCULATE &amp; filter context</t>
  </si>
  <si>
    <t xml:space="preserve">Row vs filter context (intro); CALCULATE; FILTER; ALL and REMOVEFILTERS; percent of total; variables (VAR / RETURN)</t>
  </si>
  <si>
    <t xml:space="preserve">Percent of total, filtered totals and a ranking measure</t>
  </si>
  <si>
    <t xml:space="preserve">Time intelligence basics</t>
  </si>
  <si>
    <t xml:space="preserve">Date table requirements; TOTALYTD, SAMEPERIODLASTYEAR, DATEADD; month-on-month and year-on-year change</t>
  </si>
  <si>
    <t xml:space="preserve">Build YoY, MTD and YTD measures; Module 2 checkpoint quiz</t>
  </si>
  <si>
    <t xml:space="preserve">Choosing the right visual</t>
  </si>
  <si>
    <t xml:space="preserve">Best-fit visual by data relationship: clustered bar/column (comparison), line (trend over time), stacked bar or treemap (part-to-whole), scatter (correlation), waterfall (variance/bridge), sorted bar (ranking), card/KPI (single value), table/matrix (detail), filled or bubble map (geography)</t>
  </si>
  <si>
    <t xml:space="preserve">Build one visual for each relationship type</t>
  </si>
  <si>
    <t xml:space="preserve">Report design &amp; accessibility</t>
  </si>
  <si>
    <t xml:space="preserve">Page layout, themes and alignment; titles and labels; colour contrast; alt text and tab order; mobile layout</t>
  </si>
  <si>
    <t xml:space="preserve">Design a three-page report using a custom theme</t>
  </si>
  <si>
    <t xml:space="preserve">Interactivity &amp; navigation</t>
  </si>
  <si>
    <t xml:space="preserve">Slicers and synced slicers; filters pane; edit interactions; drill-down and drillthrough; bookmarks and buttons; tooltip pages</t>
  </si>
  <si>
    <t xml:space="preserve">Build a navigation menu with a drillthrough page</t>
  </si>
  <si>
    <t xml:space="preserve">Analytics, conditional formatting &amp; AI visuals</t>
  </si>
  <si>
    <t xml:space="preserve">Conditional formatting; reference lines; Top N; forecasting; key influencers; decomposition tree; smart narrative</t>
  </si>
  <si>
    <t xml:space="preserve">Highlight outliers and explain a KPI change with an AI visual; Module 3 checkpoint quiz</t>
  </si>
  <si>
    <t xml:space="preserve">Publish, share &amp; capstone</t>
  </si>
  <si>
    <t xml:space="preserve">Publishing to the Service; workspaces and roles; apps; scheduled refresh basics; awareness of row-level security and sensitivity labels</t>
  </si>
  <si>
    <t xml:space="preserve">Publish a capstone report built on company data and present it for review (rubric scored)</t>
  </si>
  <si>
    <t xml:space="preserve">Tier 3: Data &amp; Model Builders: 30 sessions x 2 hours</t>
  </si>
  <si>
    <t xml:space="preserve">Audience: BI developers and reporting analysts who own and maintain datasets (PL-300 equivalent). Yellow columns are yours to edit; dates come from the Schedule Planner sheet.</t>
  </si>
  <si>
    <t xml:space="preserve">Power BI ecosystem &amp; connectivity modes</t>
  </si>
  <si>
    <t xml:space="preserve">Desktop, Service and Mobile; report lifecycle; Import vs DirectQuery vs Dual vs Live Connection and when to use each</t>
  </si>
  <si>
    <t xml:space="preserve">Install Desktop, tour the interface, connect to a first Excel file</t>
  </si>
  <si>
    <t xml:space="preserve">Connecting to data sources</t>
  </si>
  <si>
    <t xml:space="preserve">Excel, CSV, SQL Server, SharePoint, web and folder sources; credentials, privacy levels, data source settings</t>
  </si>
  <si>
    <t xml:space="preserve">Load data from three different source types</t>
  </si>
  <si>
    <t xml:space="preserve">Power Query basics &amp; data profiling</t>
  </si>
  <si>
    <t xml:space="preserve">Power Query Editor, applied steps, column quality / distribution / profile, data types, errors and empty values</t>
  </si>
  <si>
    <t xml:space="preserve">Clean a messy file: trim, replace, split, fill down, remove duplicates</t>
  </si>
  <si>
    <t xml:space="preserve">Pivot, unpivot, transpose; merge queries (all join types); append; Group By; conditional and custom columns</t>
  </si>
  <si>
    <t xml:space="preserve">Combine sales, customer and product tables</t>
  </si>
  <si>
    <t xml:space="preserve">Advanced Power Query</t>
  </si>
  <si>
    <t xml:space="preserve">M language basics, parameters, custom functions; reference vs duplicate queries; combine files from a folder; query folding; staging queries</t>
  </si>
  <si>
    <t xml:space="preserve">Build a folder-based monthly file ingestion</t>
  </si>
  <si>
    <t xml:space="preserve">Preparing data for the model</t>
  </si>
  <si>
    <t xml:space="preserve">Shaping fact and dimension tables; building a date table; fixing import errors and load performance; dataflows and incremental refresh concepts</t>
  </si>
  <si>
    <t xml:space="preserve">Create a clean star-schema-ready dataset</t>
  </si>
  <si>
    <t xml:space="preserve">Module 1 checkpoint</t>
  </si>
  <si>
    <t xml:space="preserve">Review of the whole domain; 20-question quiz; fix gaps</t>
  </si>
  <si>
    <t xml:space="preserve">End-to-end: raw files to a fully prepared dataset</t>
  </si>
  <si>
    <t xml:space="preserve">Star schema &amp; model design</t>
  </si>
  <si>
    <t xml:space="preserve">Fact vs dimension tables, granularity, normalisation vs denormalisation, Model view and table properties</t>
  </si>
  <si>
    <t xml:space="preserve">Build a star schema from the Module 1 data</t>
  </si>
  <si>
    <t xml:space="preserve">Relationships</t>
  </si>
  <si>
    <t xml:space="preserve">Cardinality, cross-filter direction, active vs inactive relationships, many-to-many, role-playing dimensions</t>
  </si>
  <si>
    <t xml:space="preserve">Create and troubleshoot relationships, including a role-playing date table</t>
  </si>
  <si>
    <t xml:space="preserve">Model properties &amp; usability</t>
  </si>
  <si>
    <t xml:space="preserve">Hide fields, sort by column, data categories, formatting, hierarchies, display folders</t>
  </si>
  <si>
    <t xml:space="preserve">Tidy the model as if handing it to a business user</t>
  </si>
  <si>
    <t xml:space="preserve">DAX fundamentals</t>
  </si>
  <si>
    <t xml:space="preserve">Calculated columns vs measures vs tables; implicit vs explicit measures; row context vs filter context</t>
  </si>
  <si>
    <t xml:space="preserve">Write 10 basic measures (SUM, AVERAGE, COUNT, DIVIDE)</t>
  </si>
  <si>
    <t xml:space="preserve">CALCULATE &amp; filter functions</t>
  </si>
  <si>
    <t xml:space="preserve">CALCULATE, FILTER, ALL, ALLEXCEPT, REMOVEFILTERS, VALUES, KEEPFILTERS</t>
  </si>
  <si>
    <t xml:space="preserve">Percent of total, filtered totals, year-to-date comparisons</t>
  </si>
  <si>
    <t xml:space="preserve">Iterators, logic &amp; text functions</t>
  </si>
  <si>
    <t xml:space="preserve">SUMX, AVERAGEX, RANKX, COUNTROWS, DISTINCTCOUNT; IF, SWITCH; text functions</t>
  </si>
  <si>
    <t xml:space="preserve">Ranking, running totals and category buckets</t>
  </si>
  <si>
    <t xml:space="preserve">Time intelligence</t>
  </si>
  <si>
    <t xml:space="preserve">Marking a date table; TOTALYTD, SAMEPERIODLASTYEAR, DATEADD, DATESINPERIOD; rolling averages</t>
  </si>
  <si>
    <t xml:space="preserve">Full set of YoY, MTD, QTD and rolling 3-month measures</t>
  </si>
  <si>
    <t xml:space="preserve">Advanced modelling features</t>
  </si>
  <si>
    <t xml:space="preserve">Variables (VAR/RETURN), USERELATIONSHIP, field parameters, what-if parameters, calculation groups, composite models, aggregations</t>
  </si>
  <si>
    <t xml:space="preserve">Add a what-if scenario and a dynamic measure selector</t>
  </si>
  <si>
    <t xml:space="preserve">Performance optimisation &amp; Module 2 checkpoint</t>
  </si>
  <si>
    <t xml:space="preserve">Performance Analyzer, DAX Studio and VertiPaq Analyzer basics; reducing cardinality; removing unused columns; 25-question quiz</t>
  </si>
  <si>
    <t xml:space="preserve">Optimise a slow report and record the before / after timings</t>
  </si>
  <si>
    <t xml:space="preserve">Page layout, themes and JSON themes, alignment and consistency, mobile layout, alt text, tab order, colour contrast, titles</t>
  </si>
  <si>
    <t xml:space="preserve">Design a three-page report with a custom theme</t>
  </si>
  <si>
    <t xml:space="preserve">Slicers and synced slicers; filters pane (visual / page / report); edit interactions; drill-down and drillthrough; tooltip pages; bookmarks, buttons, selection pane</t>
  </si>
  <si>
    <t xml:space="preserve">Build a navigation menu with drillthrough</t>
  </si>
  <si>
    <t xml:space="preserve">Conditional formatting &amp; analytics</t>
  </si>
  <si>
    <t xml:space="preserve">Conditional formatting, reference lines, analytics pane, forecasting, Top N filters, error bars, AppSource custom visuals</t>
  </si>
  <si>
    <t xml:space="preserve">Highlight outliers and add a forecast</t>
  </si>
  <si>
    <t xml:space="preserve">AI visuals &amp; insights</t>
  </si>
  <si>
    <t xml:space="preserve">Key influencers, decomposition tree, Q&amp;A, smart narrative, anomaly detection, Copilot (if licensed); paginated reports overview</t>
  </si>
  <si>
    <t xml:space="preserve">Use two AI visuals to explain a KPI change</t>
  </si>
  <si>
    <t xml:space="preserve">Power BI Service for reports</t>
  </si>
  <si>
    <t xml:space="preserve">Publishing, workspaces, dashboards vs reports, pinning tiles, alerts, subscriptions, Analyze in Excel, exporting</t>
  </si>
  <si>
    <t xml:space="preserve">Publish a report, build a dashboard and set an alert</t>
  </si>
  <si>
    <t xml:space="preserve">Module 3 checkpoint</t>
  </si>
  <si>
    <t xml:space="preserve">Review of the whole domain; 20-question quiz</t>
  </si>
  <si>
    <t xml:space="preserve">Full executive dashboard from design to publish</t>
  </si>
  <si>
    <t xml:space="preserve">Workspaces, roles &amp; licensing</t>
  </si>
  <si>
    <t xml:space="preserve">Workspace roles (Admin, Member, Contributor, Viewer); apps and sharing; Free, Pro, Premium Per User and capacity licences</t>
  </si>
  <si>
    <t xml:space="preserve">Create a workspace, assign roles, publish an app</t>
  </si>
  <si>
    <t xml:space="preserve">Datasets, refresh &amp; lifecycle</t>
  </si>
  <si>
    <t xml:space="preserve">Scheduled refresh; personal vs standard gateways; incremental refresh; endorsement (promoted / certified); lineage view and impact analysis; deployment pipelines overview</t>
  </si>
  <si>
    <t xml:space="preserve">Set up a scheduled refresh and review lineage</t>
  </si>
  <si>
    <t xml:space="preserve">Security &amp; governance</t>
  </si>
  <si>
    <t xml:space="preserve">Row-level security (static and dynamic with USERPRINCIPALNAME); object-level security; View as testing; sensitivity labels; build permissions</t>
  </si>
  <si>
    <t xml:space="preserve">Implement dynamic RLS and test it</t>
  </si>
  <si>
    <t xml:space="preserve">Module 4 checkpoint</t>
  </si>
  <si>
    <t xml:space="preserve">End-to-end: RLS, app and refresh settings</t>
  </si>
  <si>
    <t xml:space="preserve">Full mock exam 1</t>
  </si>
  <si>
    <t xml:space="preserve">Microsoft Learn free practice assessment, timed at about 100 minutes; review every wrong answer (optional certification prep)</t>
  </si>
  <si>
    <t xml:space="preserve">Timed mock, then log wrong answers in the Notes column</t>
  </si>
  <si>
    <t xml:space="preserve">Weak-area remediation</t>
  </si>
  <si>
    <t xml:space="preserve">Redo labs and questions for the two weakest domains; timed DAX drills; case-study style questions</t>
  </si>
  <si>
    <t xml:space="preserve">Targeted labs on weakest areas</t>
  </si>
  <si>
    <t xml:space="preserve">Full mock exam 2 &amp; exam strategy</t>
  </si>
  <si>
    <t xml:space="preserve">Second timed mock; time management and flagging questions; final review of notes</t>
  </si>
  <si>
    <t xml:space="preserve">Timed mock and final notes review</t>
  </si>
  <si>
    <t xml:space="preserve">Assessment Log</t>
  </si>
  <si>
    <t xml:space="preserve">Enter Date and Score. % and status calculate automatically. Max Score values are suggested defaults; edit them to match your actual quizzes. The grey italic row is an example only.</t>
  </si>
  <si>
    <t xml:space="preserve">Target %</t>
  </si>
  <si>
    <t xml:space="preserve">Rough working target (assumption). PL-300 is scored out of 1000 with 700 to pass, so this is not an exact conversion.</t>
  </si>
  <si>
    <t xml:space="preserve">Checkpoint</t>
  </si>
  <si>
    <t xml:space="preserve">Session #</t>
  </si>
  <si>
    <t xml:space="preserve">Score</t>
  </si>
  <si>
    <t xml:space="preserve">Max Score</t>
  </si>
  <si>
    <t xml:space="preserve">% Score</t>
  </si>
  <si>
    <t xml:space="preserve">Status vs Target</t>
  </si>
  <si>
    <t xml:space="preserve">Weak Areas / Notes</t>
  </si>
  <si>
    <t xml:space="preserve">Example</t>
  </si>
  <si>
    <t xml:space="preserve">Example: Tier 2 Module 1 quiz (ignore or delete)</t>
  </si>
  <si>
    <t xml:space="preserve">Merge join types</t>
  </si>
  <si>
    <t xml:space="preserve">Tier 1</t>
  </si>
  <si>
    <t xml:space="preserve">End-of-course knowledge check</t>
  </si>
  <si>
    <t xml:space="preserve">Tier 2</t>
  </si>
  <si>
    <t xml:space="preserve">Module 1 checkpoint quiz: data preparation</t>
  </si>
  <si>
    <t xml:space="preserve">Module 2 checkpoint quiz: model and DAX</t>
  </si>
  <si>
    <t xml:space="preserve">Module 3 checkpoint quiz: visualisations</t>
  </si>
  <si>
    <t xml:space="preserve">Capstone report review (rubric score)</t>
  </si>
  <si>
    <t xml:space="preserve">Tier 3</t>
  </si>
  <si>
    <t xml:space="preserve">Module 1 quiz: Data Connect &amp; Preparation</t>
  </si>
  <si>
    <t xml:space="preserve">Module 2 quiz: Data Model &amp; DAX</t>
  </si>
  <si>
    <t xml:space="preserve">Module 3 quiz: Visualisations</t>
  </si>
  <si>
    <t xml:space="preserve">Module 4 quiz: Maintenance &amp; Security</t>
  </si>
  <si>
    <t xml:space="preserve">Full mock exam 1 (optional)</t>
  </si>
  <si>
    <t xml:space="preserve">Full mock exam 2 (optional)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</si>
</sst>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%"/>
    <numFmt numFmtId="168" formatCode="dd\-mmm\-yyyy"/>
    <numFmt numFmtId="169" formatCode="d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7" min="3" style="0" width="12"/>
    <col collapsed="false" customWidth="true" hidden="false" outlineLevel="0" max="9" min="8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42" hidden="false" customHeight="true" outlineLevel="0" collapsed="false">
      <c r="A6" s="5" t="s">
        <v>12</v>
      </c>
      <c r="B6" s="6" t="s">
        <v>13</v>
      </c>
      <c r="C6" s="7" t="n">
        <f aca="false">COUNT('Tier 1 Consumers'!$A$5:$A$8)</f>
        <v>4</v>
      </c>
      <c r="D6" s="8" t="n">
        <f aca="false">SUM('Tier 1 Consumers'!$I$5:$I$8)</f>
        <v>8</v>
      </c>
      <c r="E6" s="7" t="n">
        <f aca="false">COUNTIF('Tier 1 Consumers'!$J$5:$J$8,"Completed")</f>
        <v>0</v>
      </c>
      <c r="F6" s="9" t="n">
        <f aca="false">IF(C6=0,0,E6/C6)</f>
        <v>0</v>
      </c>
      <c r="G6" s="8" t="n">
        <f aca="false">SUM('Tier 1 Consumers'!$K$5:$K$8)</f>
        <v>0</v>
      </c>
      <c r="H6" s="10" t="n">
        <f aca="false">'Schedule Planner'!$B$5</f>
        <v>46286</v>
      </c>
      <c r="I6" s="10" t="n">
        <f aca="false">IF(MAX('Tier 1 Consumers'!$C$5:$C$8)=0,"",MAX('Tier 1 Consumers'!$C$5:$C$8))</f>
        <v>46289</v>
      </c>
    </row>
    <row r="7" customFormat="false" ht="42" hidden="false" customHeight="true" outlineLevel="0" collapsed="false">
      <c r="A7" s="11" t="s">
        <v>14</v>
      </c>
      <c r="B7" s="6" t="s">
        <v>15</v>
      </c>
      <c r="C7" s="7" t="n">
        <f aca="false">COUNT('Tier 2 Creators'!$A$5:$A$16)</f>
        <v>12</v>
      </c>
      <c r="D7" s="8" t="n">
        <f aca="false">SUM('Tier 2 Creators'!$I$5:$I$16)</f>
        <v>24</v>
      </c>
      <c r="E7" s="7" t="n">
        <f aca="false">COUNTIF('Tier 2 Creators'!$J$5:$J$16,"Completed")</f>
        <v>0</v>
      </c>
      <c r="F7" s="9" t="n">
        <f aca="false">IF(C7=0,0,E7/C7)</f>
        <v>0</v>
      </c>
      <c r="G7" s="8" t="n">
        <f aca="false">SUM('Tier 2 Creators'!$K$5:$K$16)</f>
        <v>0</v>
      </c>
      <c r="H7" s="10" t="n">
        <f aca="false">'Schedule Planner'!$B$15</f>
        <v>46286</v>
      </c>
      <c r="I7" s="10" t="n">
        <f aca="false">IF(MAX('Tier 2 Creators'!$C$5:$C$16)=0,"",MAX('Tier 2 Creators'!$C$5:$C$16))</f>
        <v>46301</v>
      </c>
    </row>
    <row r="8" customFormat="false" ht="42" hidden="false" customHeight="true" outlineLevel="0" collapsed="false">
      <c r="A8" s="12" t="s">
        <v>16</v>
      </c>
      <c r="B8" s="6" t="s">
        <v>17</v>
      </c>
      <c r="C8" s="7" t="n">
        <f aca="false">COUNT('Tier 3 Builders'!$A$5:$A$34)</f>
        <v>30</v>
      </c>
      <c r="D8" s="8" t="n">
        <f aca="false">SUM('Tier 3 Builders'!$I$5:$I$34)</f>
        <v>60</v>
      </c>
      <c r="E8" s="7" t="n">
        <f aca="false">COUNTIF('Tier 3 Builders'!$J$5:$J$34,"Completed")</f>
        <v>0</v>
      </c>
      <c r="F8" s="9" t="n">
        <f aca="false">IF(C8=0,0,E8/C8)</f>
        <v>0</v>
      </c>
      <c r="G8" s="8" t="n">
        <f aca="false">SUM('Tier 3 Builders'!$K$5:$K$34)</f>
        <v>0</v>
      </c>
      <c r="H8" s="10" t="n">
        <f aca="false">'Schedule Planner'!$B$25</f>
        <v>46286</v>
      </c>
      <c r="I8" s="10" t="n">
        <f aca="false">IF(MAX('Tier 3 Builders'!$C$5:$C$34)=0,"",MAX('Tier 3 Builders'!$C$5:$C$34))</f>
        <v>46325</v>
      </c>
    </row>
    <row r="10" customFormat="false" ht="15" hidden="false" customHeight="false" outlineLevel="0" collapsed="false">
      <c r="A10" s="3" t="s">
        <v>18</v>
      </c>
    </row>
    <row r="11" customFormat="false" ht="27.75" hidden="false" customHeight="true" outlineLevel="0" collapsed="false">
      <c r="A11" s="4" t="s">
        <v>3</v>
      </c>
      <c r="B11" s="4" t="s">
        <v>19</v>
      </c>
      <c r="C11" s="4" t="s">
        <v>5</v>
      </c>
      <c r="D11" s="4" t="s">
        <v>7</v>
      </c>
      <c r="E11" s="4" t="s">
        <v>8</v>
      </c>
      <c r="F11" s="4" t="s">
        <v>6</v>
      </c>
      <c r="G11" s="4" t="s">
        <v>9</v>
      </c>
    </row>
    <row r="12" customFormat="false" ht="19.5" hidden="false" customHeight="true" outlineLevel="0" collapsed="false">
      <c r="A12" s="13" t="s">
        <v>12</v>
      </c>
      <c r="B12" s="14" t="s">
        <v>20</v>
      </c>
      <c r="C12" s="7" t="n">
        <f aca="false">COUNTIF('Tier 1 Consumers'!$E$5:$E$8,B12)</f>
        <v>1</v>
      </c>
      <c r="D12" s="7" t="n">
        <f aca="false">COUNTIFS('Tier 1 Consumers'!$E$5:$E$8,B12,'Tier 1 Consumers'!$J$5:$J$8,"Completed")</f>
        <v>0</v>
      </c>
      <c r="E12" s="9" t="n">
        <f aca="false">IF(C12=0,0,D12/C12)</f>
        <v>0</v>
      </c>
      <c r="F12" s="8" t="n">
        <f aca="false">SUMIF('Tier 1 Consumers'!$E$5:$E$8,B12,'Tier 1 Consumers'!$I$5:$I$8)</f>
        <v>2</v>
      </c>
      <c r="G12" s="8" t="n">
        <f aca="false">SUMIF('Tier 1 Consumers'!$E$5:$E$8,B12,'Tier 1 Consumers'!$K$5:$K$8)</f>
        <v>0</v>
      </c>
    </row>
    <row r="13" customFormat="false" ht="19.5" hidden="false" customHeight="true" outlineLevel="0" collapsed="false">
      <c r="A13" s="13" t="s">
        <v>12</v>
      </c>
      <c r="B13" s="15" t="s">
        <v>21</v>
      </c>
      <c r="C13" s="7" t="n">
        <f aca="false">COUNTIF('Tier 1 Consumers'!$E$5:$E$8,B13)</f>
        <v>2</v>
      </c>
      <c r="D13" s="7" t="n">
        <f aca="false">COUNTIFS('Tier 1 Consumers'!$E$5:$E$8,B13,'Tier 1 Consumers'!$J$5:$J$8,"Completed")</f>
        <v>0</v>
      </c>
      <c r="E13" s="9" t="n">
        <f aca="false">IF(C13=0,0,D13/C13)</f>
        <v>0</v>
      </c>
      <c r="F13" s="8" t="n">
        <f aca="false">SUMIF('Tier 1 Consumers'!$E$5:$E$8,B13,'Tier 1 Consumers'!$I$5:$I$8)</f>
        <v>4</v>
      </c>
      <c r="G13" s="8" t="n">
        <f aca="false">SUMIF('Tier 1 Consumers'!$E$5:$E$8,B13,'Tier 1 Consumers'!$K$5:$K$8)</f>
        <v>0</v>
      </c>
    </row>
    <row r="14" customFormat="false" ht="19.5" hidden="false" customHeight="true" outlineLevel="0" collapsed="false">
      <c r="A14" s="13" t="s">
        <v>12</v>
      </c>
      <c r="B14" s="16" t="s">
        <v>22</v>
      </c>
      <c r="C14" s="7" t="n">
        <f aca="false">COUNTIF('Tier 1 Consumers'!$E$5:$E$8,B14)</f>
        <v>1</v>
      </c>
      <c r="D14" s="7" t="n">
        <f aca="false">COUNTIFS('Tier 1 Consumers'!$E$5:$E$8,B14,'Tier 1 Consumers'!$J$5:$J$8,"Completed")</f>
        <v>0</v>
      </c>
      <c r="E14" s="9" t="n">
        <f aca="false">IF(C14=0,0,D14/C14)</f>
        <v>0</v>
      </c>
      <c r="F14" s="8" t="n">
        <f aca="false">SUMIF('Tier 1 Consumers'!$E$5:$E$8,B14,'Tier 1 Consumers'!$I$5:$I$8)</f>
        <v>2</v>
      </c>
      <c r="G14" s="8" t="n">
        <f aca="false">SUMIF('Tier 1 Consumers'!$E$5:$E$8,B14,'Tier 1 Consumers'!$K$5:$K$8)</f>
        <v>0</v>
      </c>
    </row>
    <row r="15" customFormat="false" ht="19.5" hidden="false" customHeight="true" outlineLevel="0" collapsed="false">
      <c r="A15" s="13" t="s">
        <v>14</v>
      </c>
      <c r="B15" s="14" t="s">
        <v>23</v>
      </c>
      <c r="C15" s="7" t="n">
        <f aca="false">COUNTIF('Tier 2 Creators'!$E$5:$E$16,B15)</f>
        <v>3</v>
      </c>
      <c r="D15" s="7" t="n">
        <f aca="false">COUNTIFS('Tier 2 Creators'!$E$5:$E$16,B15,'Tier 2 Creators'!$J$5:$J$16,"Completed")</f>
        <v>0</v>
      </c>
      <c r="E15" s="9" t="n">
        <f aca="false">IF(C15=0,0,D15/C15)</f>
        <v>0</v>
      </c>
      <c r="F15" s="8" t="n">
        <f aca="false">SUMIF('Tier 2 Creators'!$E$5:$E$16,B15,'Tier 2 Creators'!$I$5:$I$16)</f>
        <v>6</v>
      </c>
      <c r="G15" s="8" t="n">
        <f aca="false">SUMIF('Tier 2 Creators'!$E$5:$E$16,B15,'Tier 2 Creators'!$K$5:$K$16)</f>
        <v>0</v>
      </c>
    </row>
    <row r="16" customFormat="false" ht="19.5" hidden="false" customHeight="true" outlineLevel="0" collapsed="false">
      <c r="A16" s="13" t="s">
        <v>14</v>
      </c>
      <c r="B16" s="15" t="s">
        <v>24</v>
      </c>
      <c r="C16" s="7" t="n">
        <f aca="false">COUNTIF('Tier 2 Creators'!$E$5:$E$16,B16)</f>
        <v>4</v>
      </c>
      <c r="D16" s="7" t="n">
        <f aca="false">COUNTIFS('Tier 2 Creators'!$E$5:$E$16,B16,'Tier 2 Creators'!$J$5:$J$16,"Completed")</f>
        <v>0</v>
      </c>
      <c r="E16" s="9" t="n">
        <f aca="false">IF(C16=0,0,D16/C16)</f>
        <v>0</v>
      </c>
      <c r="F16" s="8" t="n">
        <f aca="false">SUMIF('Tier 2 Creators'!$E$5:$E$16,B16,'Tier 2 Creators'!$I$5:$I$16)</f>
        <v>8</v>
      </c>
      <c r="G16" s="8" t="n">
        <f aca="false">SUMIF('Tier 2 Creators'!$E$5:$E$16,B16,'Tier 2 Creators'!$K$5:$K$16)</f>
        <v>0</v>
      </c>
    </row>
    <row r="17" customFormat="false" ht="19.5" hidden="false" customHeight="true" outlineLevel="0" collapsed="false">
      <c r="A17" s="13" t="s">
        <v>14</v>
      </c>
      <c r="B17" s="16" t="s">
        <v>25</v>
      </c>
      <c r="C17" s="7" t="n">
        <f aca="false">COUNTIF('Tier 2 Creators'!$E$5:$E$16,B17)</f>
        <v>4</v>
      </c>
      <c r="D17" s="7" t="n">
        <f aca="false">COUNTIFS('Tier 2 Creators'!$E$5:$E$16,B17,'Tier 2 Creators'!$J$5:$J$16,"Completed")</f>
        <v>0</v>
      </c>
      <c r="E17" s="9" t="n">
        <f aca="false">IF(C17=0,0,D17/C17)</f>
        <v>0</v>
      </c>
      <c r="F17" s="8" t="n">
        <f aca="false">SUMIF('Tier 2 Creators'!$E$5:$E$16,B17,'Tier 2 Creators'!$I$5:$I$16)</f>
        <v>8</v>
      </c>
      <c r="G17" s="8" t="n">
        <f aca="false">SUMIF('Tier 2 Creators'!$E$5:$E$16,B17,'Tier 2 Creators'!$K$5:$K$16)</f>
        <v>0</v>
      </c>
    </row>
    <row r="18" customFormat="false" ht="19.5" hidden="false" customHeight="true" outlineLevel="0" collapsed="false">
      <c r="A18" s="13" t="s">
        <v>14</v>
      </c>
      <c r="B18" s="17" t="s">
        <v>26</v>
      </c>
      <c r="C18" s="7" t="n">
        <f aca="false">COUNTIF('Tier 2 Creators'!$E$5:$E$16,B18)</f>
        <v>1</v>
      </c>
      <c r="D18" s="7" t="n">
        <f aca="false">COUNTIFS('Tier 2 Creators'!$E$5:$E$16,B18,'Tier 2 Creators'!$J$5:$J$16,"Completed")</f>
        <v>0</v>
      </c>
      <c r="E18" s="9" t="n">
        <f aca="false">IF(C18=0,0,D18/C18)</f>
        <v>0</v>
      </c>
      <c r="F18" s="8" t="n">
        <f aca="false">SUMIF('Tier 2 Creators'!$E$5:$E$16,B18,'Tier 2 Creators'!$I$5:$I$16)</f>
        <v>2</v>
      </c>
      <c r="G18" s="8" t="n">
        <f aca="false">SUMIF('Tier 2 Creators'!$E$5:$E$16,B18,'Tier 2 Creators'!$K$5:$K$16)</f>
        <v>0</v>
      </c>
    </row>
    <row r="19" customFormat="false" ht="19.5" hidden="false" customHeight="true" outlineLevel="0" collapsed="false">
      <c r="A19" s="13" t="s">
        <v>16</v>
      </c>
      <c r="B19" s="14" t="s">
        <v>23</v>
      </c>
      <c r="C19" s="7" t="n">
        <f aca="false">COUNTIF('Tier 3 Builders'!$E$5:$E$34,B19)</f>
        <v>7</v>
      </c>
      <c r="D19" s="7" t="n">
        <f aca="false">COUNTIFS('Tier 3 Builders'!$E$5:$E$34,B19,'Tier 3 Builders'!$J$5:$J$34,"Completed")</f>
        <v>0</v>
      </c>
      <c r="E19" s="9" t="n">
        <f aca="false">IF(C19=0,0,D19/C19)</f>
        <v>0</v>
      </c>
      <c r="F19" s="8" t="n">
        <f aca="false">SUMIF('Tier 3 Builders'!$E$5:$E$34,B19,'Tier 3 Builders'!$I$5:$I$34)</f>
        <v>14</v>
      </c>
      <c r="G19" s="8" t="n">
        <f aca="false">SUMIF('Tier 3 Builders'!$E$5:$E$34,B19,'Tier 3 Builders'!$K$5:$K$34)</f>
        <v>0</v>
      </c>
    </row>
    <row r="20" customFormat="false" ht="19.5" hidden="false" customHeight="true" outlineLevel="0" collapsed="false">
      <c r="A20" s="13" t="s">
        <v>16</v>
      </c>
      <c r="B20" s="15" t="s">
        <v>27</v>
      </c>
      <c r="C20" s="7" t="n">
        <f aca="false">COUNTIF('Tier 3 Builders'!$E$5:$E$34,B20)</f>
        <v>9</v>
      </c>
      <c r="D20" s="7" t="n">
        <f aca="false">COUNTIFS('Tier 3 Builders'!$E$5:$E$34,B20,'Tier 3 Builders'!$J$5:$J$34,"Completed")</f>
        <v>0</v>
      </c>
      <c r="E20" s="9" t="n">
        <f aca="false">IF(C20=0,0,D20/C20)</f>
        <v>0</v>
      </c>
      <c r="F20" s="8" t="n">
        <f aca="false">SUMIF('Tier 3 Builders'!$E$5:$E$34,B20,'Tier 3 Builders'!$I$5:$I$34)</f>
        <v>18</v>
      </c>
      <c r="G20" s="8" t="n">
        <f aca="false">SUMIF('Tier 3 Builders'!$E$5:$E$34,B20,'Tier 3 Builders'!$K$5:$K$34)</f>
        <v>0</v>
      </c>
    </row>
    <row r="21" customFormat="false" ht="19.5" hidden="false" customHeight="true" outlineLevel="0" collapsed="false">
      <c r="A21" s="13" t="s">
        <v>16</v>
      </c>
      <c r="B21" s="16" t="s">
        <v>25</v>
      </c>
      <c r="C21" s="7" t="n">
        <f aca="false">COUNTIF('Tier 3 Builders'!$E$5:$E$34,B21)</f>
        <v>7</v>
      </c>
      <c r="D21" s="7" t="n">
        <f aca="false">COUNTIFS('Tier 3 Builders'!$E$5:$E$34,B21,'Tier 3 Builders'!$J$5:$J$34,"Completed")</f>
        <v>0</v>
      </c>
      <c r="E21" s="9" t="n">
        <f aca="false">IF(C21=0,0,D21/C21)</f>
        <v>0</v>
      </c>
      <c r="F21" s="8" t="n">
        <f aca="false">SUMIF('Tier 3 Builders'!$E$5:$E$34,B21,'Tier 3 Builders'!$I$5:$I$34)</f>
        <v>14</v>
      </c>
      <c r="G21" s="8" t="n">
        <f aca="false">SUMIF('Tier 3 Builders'!$E$5:$E$34,B21,'Tier 3 Builders'!$K$5:$K$34)</f>
        <v>0</v>
      </c>
    </row>
    <row r="22" customFormat="false" ht="19.5" hidden="false" customHeight="true" outlineLevel="0" collapsed="false">
      <c r="A22" s="13" t="s">
        <v>16</v>
      </c>
      <c r="B22" s="17" t="s">
        <v>28</v>
      </c>
      <c r="C22" s="7" t="n">
        <f aca="false">COUNTIF('Tier 3 Builders'!$E$5:$E$34,B22)</f>
        <v>4</v>
      </c>
      <c r="D22" s="7" t="n">
        <f aca="false">COUNTIFS('Tier 3 Builders'!$E$5:$E$34,B22,'Tier 3 Builders'!$J$5:$J$34,"Completed")</f>
        <v>0</v>
      </c>
      <c r="E22" s="9" t="n">
        <f aca="false">IF(C22=0,0,D22/C22)</f>
        <v>0</v>
      </c>
      <c r="F22" s="8" t="n">
        <f aca="false">SUMIF('Tier 3 Builders'!$E$5:$E$34,B22,'Tier 3 Builders'!$I$5:$I$34)</f>
        <v>8</v>
      </c>
      <c r="G22" s="8" t="n">
        <f aca="false">SUMIF('Tier 3 Builders'!$E$5:$E$34,B22,'Tier 3 Builders'!$K$5:$K$34)</f>
        <v>0</v>
      </c>
    </row>
    <row r="23" customFormat="false" ht="19.5" hidden="false" customHeight="true" outlineLevel="0" collapsed="false">
      <c r="A23" s="13" t="s">
        <v>16</v>
      </c>
      <c r="B23" s="18" t="s">
        <v>29</v>
      </c>
      <c r="C23" s="7" t="n">
        <f aca="false">COUNTIF('Tier 3 Builders'!$E$5:$E$34,B23)</f>
        <v>3</v>
      </c>
      <c r="D23" s="7" t="n">
        <f aca="false">COUNTIFS('Tier 3 Builders'!$E$5:$E$34,B23,'Tier 3 Builders'!$J$5:$J$34,"Completed")</f>
        <v>0</v>
      </c>
      <c r="E23" s="9" t="n">
        <f aca="false">IF(C23=0,0,D23/C23)</f>
        <v>0</v>
      </c>
      <c r="F23" s="8" t="n">
        <f aca="false">SUMIF('Tier 3 Builders'!$E$5:$E$34,B23,'Tier 3 Builders'!$I$5:$I$34)</f>
        <v>6</v>
      </c>
      <c r="G23" s="8" t="n">
        <f aca="false">SUMIF('Tier 3 Builders'!$E$5:$E$34,B23,'Tier 3 Builders'!$K$5:$K$34)</f>
        <v>0</v>
      </c>
    </row>
    <row r="25" customFormat="false" ht="15" hidden="false" customHeight="false" outlineLevel="0" collapsed="false">
      <c r="A25" s="3" t="s">
        <v>30</v>
      </c>
    </row>
    <row r="26" customFormat="false" ht="30" hidden="false" customHeight="true" outlineLevel="0" collapsed="false">
      <c r="A26" s="19" t="s">
        <v>31</v>
      </c>
      <c r="B26" s="19"/>
      <c r="C26" s="19"/>
      <c r="D26" s="19"/>
      <c r="E26" s="19"/>
      <c r="F26" s="19"/>
      <c r="G26" s="19"/>
      <c r="H26" s="19"/>
      <c r="I26" s="19"/>
    </row>
    <row r="27" customFormat="false" ht="30" hidden="false" customHeight="true" outlineLevel="0" collapsed="false">
      <c r="A27" s="19" t="s">
        <v>32</v>
      </c>
      <c r="B27" s="19"/>
      <c r="C27" s="19"/>
      <c r="D27" s="19"/>
      <c r="E27" s="19"/>
      <c r="F27" s="19"/>
      <c r="G27" s="19"/>
      <c r="H27" s="19"/>
      <c r="I27" s="19"/>
    </row>
    <row r="28" customFormat="false" ht="30" hidden="false" customHeight="true" outlineLevel="0" collapsed="false">
      <c r="A28" s="19" t="s">
        <v>33</v>
      </c>
      <c r="B28" s="19"/>
      <c r="C28" s="19"/>
      <c r="D28" s="19"/>
      <c r="E28" s="19"/>
      <c r="F28" s="19"/>
      <c r="G28" s="19"/>
      <c r="H28" s="19"/>
      <c r="I28" s="19"/>
    </row>
    <row r="29" customFormat="false" ht="30" hidden="false" customHeight="true" outlineLevel="0" collapsed="false">
      <c r="A29" s="19" t="s">
        <v>34</v>
      </c>
      <c r="B29" s="19"/>
      <c r="C29" s="19"/>
      <c r="D29" s="19"/>
      <c r="E29" s="19"/>
      <c r="F29" s="19"/>
      <c r="G29" s="19"/>
      <c r="H29" s="19"/>
      <c r="I29" s="19"/>
    </row>
    <row r="30" customFormat="false" ht="30" hidden="false" customHeight="true" outlineLevel="0" collapsed="false">
      <c r="A30" s="19" t="s">
        <v>35</v>
      </c>
      <c r="B30" s="19"/>
      <c r="C30" s="19"/>
      <c r="D30" s="19"/>
      <c r="E30" s="19"/>
      <c r="F30" s="19"/>
      <c r="G30" s="19"/>
      <c r="H30" s="19"/>
      <c r="I30" s="19"/>
    </row>
  </sheetData>
  <mergeCells count="5">
    <mergeCell ref="A26:I26"/>
    <mergeCell ref="A27:I27"/>
    <mergeCell ref="A28:I28"/>
    <mergeCell ref="A29:I29"/>
    <mergeCell ref="A30:I30"/>
  </mergeCells>
  <conditionalFormatting sqref="F6:F8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{BD511046-2812-452E-8840-66323BA8BF23}</x14:id>
        </ext>
      </extLst>
    </cfRule>
  </conditionalFormatting>
  <conditionalFormatting sqref="E12:E23">
    <cfRule type="dataBar" priority="3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{DA7737F3-C41D-4127-9254-60A426F6C770}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511046-2812-452E-8840-66323BA8BF2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F6:F8</xm:sqref>
        </x14:conditionalFormatting>
        <x14:conditionalFormatting xmlns:xm="http://schemas.microsoft.com/office/excel/2006/main">
          <x14:cfRule type="dataBar" id="{DA7737F3-C41D-4127-9254-60A426F6C7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E12:E23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38</v>
      </c>
      <c r="D4" s="4" t="s">
        <v>39</v>
      </c>
      <c r="E4" s="4" t="s">
        <v>40</v>
      </c>
      <c r="F4" s="4" t="s">
        <v>5</v>
      </c>
      <c r="G4" s="4" t="s">
        <v>41</v>
      </c>
      <c r="H4" s="4" t="s">
        <v>42</v>
      </c>
    </row>
    <row r="5" customFormat="false" ht="91.5" hidden="false" customHeight="true" outlineLevel="0" collapsed="false">
      <c r="A5" s="20" t="s">
        <v>12</v>
      </c>
      <c r="B5" s="21" t="s">
        <v>13</v>
      </c>
      <c r="C5" s="21" t="s">
        <v>43</v>
      </c>
      <c r="D5" s="21" t="s">
        <v>44</v>
      </c>
      <c r="E5" s="21" t="s">
        <v>45</v>
      </c>
      <c r="F5" s="22" t="n">
        <f aca="false">COUNT('Tier 1 Consumers'!$A$5:$A$8)</f>
        <v>4</v>
      </c>
      <c r="G5" s="22" t="n">
        <f aca="false">SUM('Tier 1 Consumers'!$I$5:$I$8)</f>
        <v>8</v>
      </c>
      <c r="H5" s="21" t="s">
        <v>46</v>
      </c>
    </row>
    <row r="6" customFormat="false" ht="91.5" hidden="false" customHeight="true" outlineLevel="0" collapsed="false">
      <c r="A6" s="23" t="s">
        <v>14</v>
      </c>
      <c r="B6" s="21" t="s">
        <v>15</v>
      </c>
      <c r="C6" s="21" t="s">
        <v>47</v>
      </c>
      <c r="D6" s="21" t="s">
        <v>48</v>
      </c>
      <c r="E6" s="21" t="s">
        <v>49</v>
      </c>
      <c r="F6" s="22" t="n">
        <f aca="false">COUNT('Tier 2 Creators'!$A$5:$A$16)</f>
        <v>12</v>
      </c>
      <c r="G6" s="22" t="n">
        <f aca="false">SUM('Tier 2 Creators'!$I$5:$I$16)</f>
        <v>24</v>
      </c>
      <c r="H6" s="21" t="s">
        <v>50</v>
      </c>
    </row>
    <row r="7" customFormat="false" ht="91.5" hidden="false" customHeight="true" outlineLevel="0" collapsed="false">
      <c r="A7" s="24" t="s">
        <v>16</v>
      </c>
      <c r="B7" s="21" t="s">
        <v>17</v>
      </c>
      <c r="C7" s="21" t="s">
        <v>51</v>
      </c>
      <c r="D7" s="21" t="s">
        <v>52</v>
      </c>
      <c r="E7" s="21" t="s">
        <v>53</v>
      </c>
      <c r="F7" s="22" t="n">
        <f aca="false">COUNT('Tier 3 Builders'!$A$5:$A$34)</f>
        <v>30</v>
      </c>
      <c r="G7" s="22" t="n">
        <f aca="false">SUM('Tier 3 Builders'!$I$5:$I$34)</f>
        <v>60</v>
      </c>
      <c r="H7" s="21" t="s">
        <v>54</v>
      </c>
    </row>
    <row r="9" customFormat="false" ht="30" hidden="false" customHeight="true" outlineLevel="0" collapsed="false">
      <c r="A9" s="25" t="s">
        <v>55</v>
      </c>
      <c r="B9" s="25"/>
      <c r="C9" s="25"/>
      <c r="D9" s="25"/>
      <c r="E9" s="25"/>
      <c r="F9" s="25"/>
      <c r="G9" s="25"/>
      <c r="H9" s="25"/>
    </row>
  </sheetData>
  <mergeCells count="1"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1"/>
    <col collapsed="false" customWidth="true" hidden="false" outlineLevel="0" max="10" min="9" style="0" width="4"/>
    <col collapsed="false" customWidth="true" hidden="true" outlineLevel="0" max="19" min="11" style="0" width="13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K3" s="2" t="s">
        <v>58</v>
      </c>
      <c r="N3" s="2" t="s">
        <v>59</v>
      </c>
      <c r="Q3" s="2" t="s">
        <v>60</v>
      </c>
    </row>
    <row r="4" customFormat="false" ht="15" hidden="false" customHeight="false" outlineLevel="0" collapsed="false">
      <c r="A4" s="26" t="s">
        <v>12</v>
      </c>
      <c r="B4" s="26"/>
      <c r="C4" s="26"/>
      <c r="D4" s="26"/>
      <c r="E4" s="26"/>
      <c r="F4" s="26"/>
      <c r="G4" s="26"/>
      <c r="H4" s="26"/>
      <c r="K4" s="27" t="s">
        <v>61</v>
      </c>
      <c r="L4" s="27" t="s">
        <v>62</v>
      </c>
      <c r="M4" s="27" t="s">
        <v>63</v>
      </c>
      <c r="N4" s="27" t="s">
        <v>61</v>
      </c>
      <c r="O4" s="27" t="s">
        <v>62</v>
      </c>
      <c r="P4" s="27" t="s">
        <v>63</v>
      </c>
      <c r="Q4" s="27" t="s">
        <v>61</v>
      </c>
      <c r="R4" s="27" t="s">
        <v>62</v>
      </c>
      <c r="S4" s="27" t="s">
        <v>63</v>
      </c>
    </row>
    <row r="5" customFormat="false" ht="15" hidden="false" customHeight="false" outlineLevel="0" collapsed="false">
      <c r="A5" s="28" t="s">
        <v>64</v>
      </c>
      <c r="B5" s="29" t="n">
        <v>46286</v>
      </c>
      <c r="C5" s="2" t="s">
        <v>65</v>
      </c>
      <c r="K5" s="30" t="n">
        <f aca="false">$B$5</f>
        <v>46286</v>
      </c>
      <c r="L5" s="31" t="n">
        <f aca="false">INDEX($B$7:$H$7,WEEKDAY(K5,2))</f>
        <v>1</v>
      </c>
      <c r="M5" s="31" t="n">
        <f aca="false">SUM(L$5:L5)</f>
        <v>1</v>
      </c>
      <c r="N5" s="30" t="n">
        <f aca="false">$B$15</f>
        <v>46286</v>
      </c>
      <c r="O5" s="31" t="n">
        <f aca="false">INDEX($B$17:$H$17,WEEKDAY(N5,2))</f>
        <v>1</v>
      </c>
      <c r="P5" s="31" t="n">
        <f aca="false">SUM(O$5:O5)</f>
        <v>1</v>
      </c>
      <c r="Q5" s="30" t="n">
        <f aca="false">$B$25</f>
        <v>46286</v>
      </c>
      <c r="R5" s="31" t="n">
        <f aca="false">INDEX($B$27:$H$27,WEEKDAY(Q5,2))</f>
        <v>1</v>
      </c>
      <c r="S5" s="31" t="n">
        <f aca="false">SUM(R$5:R5)</f>
        <v>1</v>
      </c>
    </row>
    <row r="6" customFormat="false" ht="15" hidden="false" customHeight="false" outlineLevel="0" collapsed="false">
      <c r="A6" s="28" t="s">
        <v>66</v>
      </c>
      <c r="B6" s="32" t="s">
        <v>67</v>
      </c>
      <c r="C6" s="32" t="s">
        <v>68</v>
      </c>
      <c r="D6" s="32" t="s">
        <v>69</v>
      </c>
      <c r="E6" s="32" t="s">
        <v>70</v>
      </c>
      <c r="F6" s="32" t="s">
        <v>71</v>
      </c>
      <c r="G6" s="32" t="s">
        <v>72</v>
      </c>
      <c r="H6" s="32" t="s">
        <v>73</v>
      </c>
      <c r="K6" s="30" t="n">
        <f aca="false">K5+1</f>
        <v>46287</v>
      </c>
      <c r="L6" s="31" t="n">
        <f aca="false">INDEX($B$7:$H$7,WEEKDAY(K6,2))</f>
        <v>1</v>
      </c>
      <c r="M6" s="31" t="n">
        <f aca="false">SUM(L$5:L6)</f>
        <v>2</v>
      </c>
      <c r="N6" s="30" t="n">
        <f aca="false">N5+1</f>
        <v>46287</v>
      </c>
      <c r="O6" s="31" t="n">
        <f aca="false">INDEX($B$17:$H$17,WEEKDAY(N6,2))</f>
        <v>1</v>
      </c>
      <c r="P6" s="31" t="n">
        <f aca="false">SUM(O$5:O6)</f>
        <v>2</v>
      </c>
      <c r="Q6" s="30" t="n">
        <f aca="false">Q5+1</f>
        <v>46287</v>
      </c>
      <c r="R6" s="31" t="n">
        <f aca="false">INDEX($B$27:$H$27,WEEKDAY(Q6,2))</f>
        <v>1</v>
      </c>
      <c r="S6" s="31" t="n">
        <f aca="false">SUM(R$5:R6)</f>
        <v>2</v>
      </c>
    </row>
    <row r="7" customFormat="false" ht="15" hidden="false" customHeight="false" outlineLevel="0" collapsed="false">
      <c r="A7" s="28" t="s">
        <v>74</v>
      </c>
      <c r="B7" s="33" t="n">
        <v>1</v>
      </c>
      <c r="C7" s="33" t="n">
        <v>1</v>
      </c>
      <c r="D7" s="33" t="n">
        <v>1</v>
      </c>
      <c r="E7" s="33" t="n">
        <v>1</v>
      </c>
      <c r="F7" s="33" t="n">
        <v>1</v>
      </c>
      <c r="G7" s="33" t="n">
        <v>0</v>
      </c>
      <c r="H7" s="33" t="n">
        <v>0</v>
      </c>
      <c r="K7" s="30" t="n">
        <f aca="false">K6+1</f>
        <v>46288</v>
      </c>
      <c r="L7" s="31" t="n">
        <f aca="false">INDEX($B$7:$H$7,WEEKDAY(K7,2))</f>
        <v>1</v>
      </c>
      <c r="M7" s="31" t="n">
        <f aca="false">SUM(L$5:L7)</f>
        <v>3</v>
      </c>
      <c r="N7" s="30" t="n">
        <f aca="false">N6+1</f>
        <v>46288</v>
      </c>
      <c r="O7" s="31" t="n">
        <f aca="false">INDEX($B$17:$H$17,WEEKDAY(N7,2))</f>
        <v>1</v>
      </c>
      <c r="P7" s="31" t="n">
        <f aca="false">SUM(O$5:O7)</f>
        <v>3</v>
      </c>
      <c r="Q7" s="30" t="n">
        <f aca="false">Q6+1</f>
        <v>46288</v>
      </c>
      <c r="R7" s="31" t="n">
        <f aca="false">INDEX($B$27:$H$27,WEEKDAY(Q7,2))</f>
        <v>1</v>
      </c>
      <c r="S7" s="31" t="n">
        <f aca="false">SUM(R$5:R7)</f>
        <v>3</v>
      </c>
    </row>
    <row r="8" customFormat="false" ht="15" hidden="false" customHeight="false" outlineLevel="0" collapsed="false">
      <c r="A8" s="28" t="s">
        <v>75</v>
      </c>
      <c r="B8" s="33" t="n">
        <v>1</v>
      </c>
      <c r="K8" s="30" t="n">
        <f aca="false">K7+1</f>
        <v>46289</v>
      </c>
      <c r="L8" s="31" t="n">
        <f aca="false">INDEX($B$7:$H$7,WEEKDAY(K8,2))</f>
        <v>1</v>
      </c>
      <c r="M8" s="31" t="n">
        <f aca="false">SUM(L$5:L8)</f>
        <v>4</v>
      </c>
      <c r="N8" s="30" t="n">
        <f aca="false">N7+1</f>
        <v>46289</v>
      </c>
      <c r="O8" s="31" t="n">
        <f aca="false">INDEX($B$17:$H$17,WEEKDAY(N8,2))</f>
        <v>1</v>
      </c>
      <c r="P8" s="31" t="n">
        <f aca="false">SUM(O$5:O8)</f>
        <v>4</v>
      </c>
      <c r="Q8" s="30" t="n">
        <f aca="false">Q7+1</f>
        <v>46289</v>
      </c>
      <c r="R8" s="31" t="n">
        <f aca="false">INDEX($B$27:$H$27,WEEKDAY(Q8,2))</f>
        <v>1</v>
      </c>
      <c r="S8" s="31" t="n">
        <f aca="false">SUM(R$5:R8)</f>
        <v>4</v>
      </c>
    </row>
    <row r="9" customFormat="false" ht="15" hidden="false" customHeight="false" outlineLevel="0" collapsed="false">
      <c r="A9" s="28" t="s">
        <v>76</v>
      </c>
      <c r="B9" s="34" t="n">
        <f aca="false">COUNT('Tier 1 Consumers'!$A$5:$A$8)</f>
        <v>4</v>
      </c>
      <c r="K9" s="30" t="n">
        <f aca="false">K8+1</f>
        <v>46290</v>
      </c>
      <c r="L9" s="31" t="n">
        <f aca="false">INDEX($B$7:$H$7,WEEKDAY(K9,2))</f>
        <v>1</v>
      </c>
      <c r="M9" s="31" t="n">
        <f aca="false">SUM(L$5:L9)</f>
        <v>5</v>
      </c>
      <c r="N9" s="30" t="n">
        <f aca="false">N8+1</f>
        <v>46290</v>
      </c>
      <c r="O9" s="31" t="n">
        <f aca="false">INDEX($B$17:$H$17,WEEKDAY(N9,2))</f>
        <v>1</v>
      </c>
      <c r="P9" s="31" t="n">
        <f aca="false">SUM(O$5:O9)</f>
        <v>5</v>
      </c>
      <c r="Q9" s="30" t="n">
        <f aca="false">Q8+1</f>
        <v>46290</v>
      </c>
      <c r="R9" s="31" t="n">
        <f aca="false">INDEX($B$27:$H$27,WEEKDAY(Q9,2))</f>
        <v>1</v>
      </c>
      <c r="S9" s="31" t="n">
        <f aca="false">SUM(R$5:R9)</f>
        <v>5</v>
      </c>
    </row>
    <row r="10" customFormat="false" ht="15" hidden="false" customHeight="false" outlineLevel="0" collapsed="false">
      <c r="A10" s="28" t="s">
        <v>77</v>
      </c>
      <c r="B10" s="34" t="n">
        <f aca="false">IFERROR(ROUNDUP(B9/$B$8,0),"")</f>
        <v>4</v>
      </c>
      <c r="K10" s="30" t="n">
        <f aca="false">K9+1</f>
        <v>46291</v>
      </c>
      <c r="L10" s="31" t="n">
        <f aca="false">INDEX($B$7:$H$7,WEEKDAY(K10,2))</f>
        <v>0</v>
      </c>
      <c r="M10" s="31" t="n">
        <f aca="false">SUM(L$5:L10)</f>
        <v>5</v>
      </c>
      <c r="N10" s="30" t="n">
        <f aca="false">N9+1</f>
        <v>46291</v>
      </c>
      <c r="O10" s="31" t="n">
        <f aca="false">INDEX($B$17:$H$17,WEEKDAY(N10,2))</f>
        <v>0</v>
      </c>
      <c r="P10" s="31" t="n">
        <f aca="false">SUM(O$5:O10)</f>
        <v>5</v>
      </c>
      <c r="Q10" s="30" t="n">
        <f aca="false">Q9+1</f>
        <v>46291</v>
      </c>
      <c r="R10" s="31" t="n">
        <f aca="false">INDEX($B$27:$H$27,WEEKDAY(Q10,2))</f>
        <v>0</v>
      </c>
      <c r="S10" s="31" t="n">
        <f aca="false">SUM(R$5:R10)</f>
        <v>5</v>
      </c>
    </row>
    <row r="11" customFormat="false" ht="15" hidden="false" customHeight="false" outlineLevel="0" collapsed="false">
      <c r="A11" s="28" t="s">
        <v>78</v>
      </c>
      <c r="B11" s="35" t="n">
        <f aca="false">IF(MAX('Tier 1 Consumers'!$C$5:$C$8)=0,"",MAX('Tier 1 Consumers'!$C$5:$C$8))</f>
        <v>46289</v>
      </c>
      <c r="K11" s="30" t="n">
        <f aca="false">K10+1</f>
        <v>46292</v>
      </c>
      <c r="L11" s="31" t="n">
        <f aca="false">INDEX($B$7:$H$7,WEEKDAY(K11,2))</f>
        <v>0</v>
      </c>
      <c r="M11" s="31" t="n">
        <f aca="false">SUM(L$5:L11)</f>
        <v>5</v>
      </c>
      <c r="N11" s="30" t="n">
        <f aca="false">N10+1</f>
        <v>46292</v>
      </c>
      <c r="O11" s="31" t="n">
        <f aca="false">INDEX($B$17:$H$17,WEEKDAY(N11,2))</f>
        <v>0</v>
      </c>
      <c r="P11" s="31" t="n">
        <f aca="false">SUM(O$5:O11)</f>
        <v>5</v>
      </c>
      <c r="Q11" s="30" t="n">
        <f aca="false">Q10+1</f>
        <v>46292</v>
      </c>
      <c r="R11" s="31" t="n">
        <f aca="false">INDEX($B$27:$H$27,WEEKDAY(Q11,2))</f>
        <v>0</v>
      </c>
      <c r="S11" s="31" t="n">
        <f aca="false">SUM(R$5:R11)</f>
        <v>5</v>
      </c>
    </row>
    <row r="12" customFormat="false" ht="15" hidden="false" customHeight="false" outlineLevel="0" collapsed="false">
      <c r="K12" s="30" t="n">
        <f aca="false">K11+1</f>
        <v>46293</v>
      </c>
      <c r="L12" s="31" t="n">
        <f aca="false">INDEX($B$7:$H$7,WEEKDAY(K12,2))</f>
        <v>1</v>
      </c>
      <c r="M12" s="31" t="n">
        <f aca="false">SUM(L$5:L12)</f>
        <v>6</v>
      </c>
      <c r="N12" s="30" t="n">
        <f aca="false">N11+1</f>
        <v>46293</v>
      </c>
      <c r="O12" s="31" t="n">
        <f aca="false">INDEX($B$17:$H$17,WEEKDAY(N12,2))</f>
        <v>1</v>
      </c>
      <c r="P12" s="31" t="n">
        <f aca="false">SUM(O$5:O12)</f>
        <v>6</v>
      </c>
      <c r="Q12" s="30" t="n">
        <f aca="false">Q11+1</f>
        <v>46293</v>
      </c>
      <c r="R12" s="31" t="n">
        <f aca="false">INDEX($B$27:$H$27,WEEKDAY(Q12,2))</f>
        <v>1</v>
      </c>
      <c r="S12" s="31" t="n">
        <f aca="false">SUM(R$5:R12)</f>
        <v>6</v>
      </c>
    </row>
    <row r="13" customFormat="false" ht="15" hidden="false" customHeight="false" outlineLevel="0" collapsed="false">
      <c r="K13" s="30" t="n">
        <f aca="false">K12+1</f>
        <v>46294</v>
      </c>
      <c r="L13" s="31" t="n">
        <f aca="false">INDEX($B$7:$H$7,WEEKDAY(K13,2))</f>
        <v>1</v>
      </c>
      <c r="M13" s="31" t="n">
        <f aca="false">SUM(L$5:L13)</f>
        <v>7</v>
      </c>
      <c r="N13" s="30" t="n">
        <f aca="false">N12+1</f>
        <v>46294</v>
      </c>
      <c r="O13" s="31" t="n">
        <f aca="false">INDEX($B$17:$H$17,WEEKDAY(N13,2))</f>
        <v>1</v>
      </c>
      <c r="P13" s="31" t="n">
        <f aca="false">SUM(O$5:O13)</f>
        <v>7</v>
      </c>
      <c r="Q13" s="30" t="n">
        <f aca="false">Q12+1</f>
        <v>46294</v>
      </c>
      <c r="R13" s="31" t="n">
        <f aca="false">INDEX($B$27:$H$27,WEEKDAY(Q13,2))</f>
        <v>1</v>
      </c>
      <c r="S13" s="31" t="n">
        <f aca="false">SUM(R$5:R13)</f>
        <v>7</v>
      </c>
    </row>
    <row r="14" customFormat="false" ht="15" hidden="false" customHeight="false" outlineLevel="0" collapsed="false">
      <c r="A14" s="26" t="s">
        <v>14</v>
      </c>
      <c r="B14" s="26"/>
      <c r="C14" s="26"/>
      <c r="D14" s="26"/>
      <c r="E14" s="26"/>
      <c r="F14" s="26"/>
      <c r="G14" s="26"/>
      <c r="H14" s="26"/>
      <c r="K14" s="30" t="n">
        <f aca="false">K13+1</f>
        <v>46295</v>
      </c>
      <c r="L14" s="31" t="n">
        <f aca="false">INDEX($B$7:$H$7,WEEKDAY(K14,2))</f>
        <v>1</v>
      </c>
      <c r="M14" s="31" t="n">
        <f aca="false">SUM(L$5:L14)</f>
        <v>8</v>
      </c>
      <c r="N14" s="30" t="n">
        <f aca="false">N13+1</f>
        <v>46295</v>
      </c>
      <c r="O14" s="31" t="n">
        <f aca="false">INDEX($B$17:$H$17,WEEKDAY(N14,2))</f>
        <v>1</v>
      </c>
      <c r="P14" s="31" t="n">
        <f aca="false">SUM(O$5:O14)</f>
        <v>8</v>
      </c>
      <c r="Q14" s="30" t="n">
        <f aca="false">Q13+1</f>
        <v>46295</v>
      </c>
      <c r="R14" s="31" t="n">
        <f aca="false">INDEX($B$27:$H$27,WEEKDAY(Q14,2))</f>
        <v>1</v>
      </c>
      <c r="S14" s="31" t="n">
        <f aca="false">SUM(R$5:R14)</f>
        <v>8</v>
      </c>
    </row>
    <row r="15" customFormat="false" ht="15" hidden="false" customHeight="false" outlineLevel="0" collapsed="false">
      <c r="A15" s="28" t="s">
        <v>64</v>
      </c>
      <c r="B15" s="29" t="n">
        <v>46286</v>
      </c>
      <c r="C15" s="2" t="s">
        <v>65</v>
      </c>
      <c r="K15" s="30" t="n">
        <f aca="false">K14+1</f>
        <v>46296</v>
      </c>
      <c r="L15" s="31" t="n">
        <f aca="false">INDEX($B$7:$H$7,WEEKDAY(K15,2))</f>
        <v>1</v>
      </c>
      <c r="M15" s="31" t="n">
        <f aca="false">SUM(L$5:L15)</f>
        <v>9</v>
      </c>
      <c r="N15" s="30" t="n">
        <f aca="false">N14+1</f>
        <v>46296</v>
      </c>
      <c r="O15" s="31" t="n">
        <f aca="false">INDEX($B$17:$H$17,WEEKDAY(N15,2))</f>
        <v>1</v>
      </c>
      <c r="P15" s="31" t="n">
        <f aca="false">SUM(O$5:O15)</f>
        <v>9</v>
      </c>
      <c r="Q15" s="30" t="n">
        <f aca="false">Q14+1</f>
        <v>46296</v>
      </c>
      <c r="R15" s="31" t="n">
        <f aca="false">INDEX($B$27:$H$27,WEEKDAY(Q15,2))</f>
        <v>1</v>
      </c>
      <c r="S15" s="31" t="n">
        <f aca="false">SUM(R$5:R15)</f>
        <v>9</v>
      </c>
    </row>
    <row r="16" customFormat="false" ht="15" hidden="false" customHeight="false" outlineLevel="0" collapsed="false">
      <c r="A16" s="28" t="s">
        <v>66</v>
      </c>
      <c r="B16" s="32" t="s">
        <v>67</v>
      </c>
      <c r="C16" s="32" t="s">
        <v>68</v>
      </c>
      <c r="D16" s="32" t="s">
        <v>69</v>
      </c>
      <c r="E16" s="32" t="s">
        <v>70</v>
      </c>
      <c r="F16" s="32" t="s">
        <v>71</v>
      </c>
      <c r="G16" s="32" t="s">
        <v>72</v>
      </c>
      <c r="H16" s="32" t="s">
        <v>73</v>
      </c>
      <c r="K16" s="30" t="n">
        <f aca="false">K15+1</f>
        <v>46297</v>
      </c>
      <c r="L16" s="31" t="n">
        <f aca="false">INDEX($B$7:$H$7,WEEKDAY(K16,2))</f>
        <v>1</v>
      </c>
      <c r="M16" s="31" t="n">
        <f aca="false">SUM(L$5:L16)</f>
        <v>10</v>
      </c>
      <c r="N16" s="30" t="n">
        <f aca="false">N15+1</f>
        <v>46297</v>
      </c>
      <c r="O16" s="31" t="n">
        <f aca="false">INDEX($B$17:$H$17,WEEKDAY(N16,2))</f>
        <v>1</v>
      </c>
      <c r="P16" s="31" t="n">
        <f aca="false">SUM(O$5:O16)</f>
        <v>10</v>
      </c>
      <c r="Q16" s="30" t="n">
        <f aca="false">Q15+1</f>
        <v>46297</v>
      </c>
      <c r="R16" s="31" t="n">
        <f aca="false">INDEX($B$27:$H$27,WEEKDAY(Q16,2))</f>
        <v>1</v>
      </c>
      <c r="S16" s="31" t="n">
        <f aca="false">SUM(R$5:R16)</f>
        <v>10</v>
      </c>
    </row>
    <row r="17" customFormat="false" ht="15" hidden="false" customHeight="false" outlineLevel="0" collapsed="false">
      <c r="A17" s="28" t="s">
        <v>74</v>
      </c>
      <c r="B17" s="33" t="n">
        <v>1</v>
      </c>
      <c r="C17" s="33" t="n">
        <v>1</v>
      </c>
      <c r="D17" s="33" t="n">
        <v>1</v>
      </c>
      <c r="E17" s="33" t="n">
        <v>1</v>
      </c>
      <c r="F17" s="33" t="n">
        <v>1</v>
      </c>
      <c r="G17" s="33" t="n">
        <v>0</v>
      </c>
      <c r="H17" s="33" t="n">
        <v>0</v>
      </c>
      <c r="K17" s="30" t="n">
        <f aca="false">K16+1</f>
        <v>46298</v>
      </c>
      <c r="L17" s="31" t="n">
        <f aca="false">INDEX($B$7:$H$7,WEEKDAY(K17,2))</f>
        <v>0</v>
      </c>
      <c r="M17" s="31" t="n">
        <f aca="false">SUM(L$5:L17)</f>
        <v>10</v>
      </c>
      <c r="N17" s="30" t="n">
        <f aca="false">N16+1</f>
        <v>46298</v>
      </c>
      <c r="O17" s="31" t="n">
        <f aca="false">INDEX($B$17:$H$17,WEEKDAY(N17,2))</f>
        <v>0</v>
      </c>
      <c r="P17" s="31" t="n">
        <f aca="false">SUM(O$5:O17)</f>
        <v>10</v>
      </c>
      <c r="Q17" s="30" t="n">
        <f aca="false">Q16+1</f>
        <v>46298</v>
      </c>
      <c r="R17" s="31" t="n">
        <f aca="false">INDEX($B$27:$H$27,WEEKDAY(Q17,2))</f>
        <v>0</v>
      </c>
      <c r="S17" s="31" t="n">
        <f aca="false">SUM(R$5:R17)</f>
        <v>10</v>
      </c>
    </row>
    <row r="18" customFormat="false" ht="15" hidden="false" customHeight="false" outlineLevel="0" collapsed="false">
      <c r="A18" s="28" t="s">
        <v>75</v>
      </c>
      <c r="B18" s="33" t="n">
        <v>1</v>
      </c>
      <c r="K18" s="30" t="n">
        <f aca="false">K17+1</f>
        <v>46299</v>
      </c>
      <c r="L18" s="31" t="n">
        <f aca="false">INDEX($B$7:$H$7,WEEKDAY(K18,2))</f>
        <v>0</v>
      </c>
      <c r="M18" s="31" t="n">
        <f aca="false">SUM(L$5:L18)</f>
        <v>10</v>
      </c>
      <c r="N18" s="30" t="n">
        <f aca="false">N17+1</f>
        <v>46299</v>
      </c>
      <c r="O18" s="31" t="n">
        <f aca="false">INDEX($B$17:$H$17,WEEKDAY(N18,2))</f>
        <v>0</v>
      </c>
      <c r="P18" s="31" t="n">
        <f aca="false">SUM(O$5:O18)</f>
        <v>10</v>
      </c>
      <c r="Q18" s="30" t="n">
        <f aca="false">Q17+1</f>
        <v>46299</v>
      </c>
      <c r="R18" s="31" t="n">
        <f aca="false">INDEX($B$27:$H$27,WEEKDAY(Q18,2))</f>
        <v>0</v>
      </c>
      <c r="S18" s="31" t="n">
        <f aca="false">SUM(R$5:R18)</f>
        <v>10</v>
      </c>
    </row>
    <row r="19" customFormat="false" ht="15" hidden="false" customHeight="false" outlineLevel="0" collapsed="false">
      <c r="A19" s="28" t="s">
        <v>76</v>
      </c>
      <c r="B19" s="34" t="n">
        <f aca="false">COUNT('Tier 2 Creators'!$A$5:$A$16)</f>
        <v>12</v>
      </c>
      <c r="K19" s="30" t="n">
        <f aca="false">K18+1</f>
        <v>46300</v>
      </c>
      <c r="L19" s="31" t="n">
        <f aca="false">INDEX($B$7:$H$7,WEEKDAY(K19,2))</f>
        <v>1</v>
      </c>
      <c r="M19" s="31" t="n">
        <f aca="false">SUM(L$5:L19)</f>
        <v>11</v>
      </c>
      <c r="N19" s="30" t="n">
        <f aca="false">N18+1</f>
        <v>46300</v>
      </c>
      <c r="O19" s="31" t="n">
        <f aca="false">INDEX($B$17:$H$17,WEEKDAY(N19,2))</f>
        <v>1</v>
      </c>
      <c r="P19" s="31" t="n">
        <f aca="false">SUM(O$5:O19)</f>
        <v>11</v>
      </c>
      <c r="Q19" s="30" t="n">
        <f aca="false">Q18+1</f>
        <v>46300</v>
      </c>
      <c r="R19" s="31" t="n">
        <f aca="false">INDEX($B$27:$H$27,WEEKDAY(Q19,2))</f>
        <v>1</v>
      </c>
      <c r="S19" s="31" t="n">
        <f aca="false">SUM(R$5:R19)</f>
        <v>11</v>
      </c>
    </row>
    <row r="20" customFormat="false" ht="15" hidden="false" customHeight="false" outlineLevel="0" collapsed="false">
      <c r="A20" s="28" t="s">
        <v>77</v>
      </c>
      <c r="B20" s="34" t="n">
        <f aca="false">IFERROR(ROUNDUP(B19/$B$18,0),"")</f>
        <v>12</v>
      </c>
      <c r="K20" s="30" t="n">
        <f aca="false">K19+1</f>
        <v>46301</v>
      </c>
      <c r="L20" s="31" t="n">
        <f aca="false">INDEX($B$7:$H$7,WEEKDAY(K20,2))</f>
        <v>1</v>
      </c>
      <c r="M20" s="31" t="n">
        <f aca="false">SUM(L$5:L20)</f>
        <v>12</v>
      </c>
      <c r="N20" s="30" t="n">
        <f aca="false">N19+1</f>
        <v>46301</v>
      </c>
      <c r="O20" s="31" t="n">
        <f aca="false">INDEX($B$17:$H$17,WEEKDAY(N20,2))</f>
        <v>1</v>
      </c>
      <c r="P20" s="31" t="n">
        <f aca="false">SUM(O$5:O20)</f>
        <v>12</v>
      </c>
      <c r="Q20" s="30" t="n">
        <f aca="false">Q19+1</f>
        <v>46301</v>
      </c>
      <c r="R20" s="31" t="n">
        <f aca="false">INDEX($B$27:$H$27,WEEKDAY(Q20,2))</f>
        <v>1</v>
      </c>
      <c r="S20" s="31" t="n">
        <f aca="false">SUM(R$5:R20)</f>
        <v>12</v>
      </c>
    </row>
    <row r="21" customFormat="false" ht="15" hidden="false" customHeight="false" outlineLevel="0" collapsed="false">
      <c r="A21" s="28" t="s">
        <v>78</v>
      </c>
      <c r="B21" s="35" t="n">
        <f aca="false">IF(MAX('Tier 2 Creators'!$C$5:$C$16)=0,"",MAX('Tier 2 Creators'!$C$5:$C$16))</f>
        <v>46301</v>
      </c>
      <c r="K21" s="30" t="n">
        <f aca="false">K20+1</f>
        <v>46302</v>
      </c>
      <c r="L21" s="31" t="n">
        <f aca="false">INDEX($B$7:$H$7,WEEKDAY(K21,2))</f>
        <v>1</v>
      </c>
      <c r="M21" s="31" t="n">
        <f aca="false">SUM(L$5:L21)</f>
        <v>13</v>
      </c>
      <c r="N21" s="30" t="n">
        <f aca="false">N20+1</f>
        <v>46302</v>
      </c>
      <c r="O21" s="31" t="n">
        <f aca="false">INDEX($B$17:$H$17,WEEKDAY(N21,2))</f>
        <v>1</v>
      </c>
      <c r="P21" s="31" t="n">
        <f aca="false">SUM(O$5:O21)</f>
        <v>13</v>
      </c>
      <c r="Q21" s="30" t="n">
        <f aca="false">Q20+1</f>
        <v>46302</v>
      </c>
      <c r="R21" s="31" t="n">
        <f aca="false">INDEX($B$27:$H$27,WEEKDAY(Q21,2))</f>
        <v>1</v>
      </c>
      <c r="S21" s="31" t="n">
        <f aca="false">SUM(R$5:R21)</f>
        <v>13</v>
      </c>
    </row>
    <row r="22" customFormat="false" ht="15" hidden="false" customHeight="false" outlineLevel="0" collapsed="false">
      <c r="K22" s="30" t="n">
        <f aca="false">K21+1</f>
        <v>46303</v>
      </c>
      <c r="L22" s="31" t="n">
        <f aca="false">INDEX($B$7:$H$7,WEEKDAY(K22,2))</f>
        <v>1</v>
      </c>
      <c r="M22" s="31" t="n">
        <f aca="false">SUM(L$5:L22)</f>
        <v>14</v>
      </c>
      <c r="N22" s="30" t="n">
        <f aca="false">N21+1</f>
        <v>46303</v>
      </c>
      <c r="O22" s="31" t="n">
        <f aca="false">INDEX($B$17:$H$17,WEEKDAY(N22,2))</f>
        <v>1</v>
      </c>
      <c r="P22" s="31" t="n">
        <f aca="false">SUM(O$5:O22)</f>
        <v>14</v>
      </c>
      <c r="Q22" s="30" t="n">
        <f aca="false">Q21+1</f>
        <v>46303</v>
      </c>
      <c r="R22" s="31" t="n">
        <f aca="false">INDEX($B$27:$H$27,WEEKDAY(Q22,2))</f>
        <v>1</v>
      </c>
      <c r="S22" s="31" t="n">
        <f aca="false">SUM(R$5:R22)</f>
        <v>14</v>
      </c>
    </row>
    <row r="23" customFormat="false" ht="15" hidden="false" customHeight="false" outlineLevel="0" collapsed="false">
      <c r="K23" s="30" t="n">
        <f aca="false">K22+1</f>
        <v>46304</v>
      </c>
      <c r="L23" s="31" t="n">
        <f aca="false">INDEX($B$7:$H$7,WEEKDAY(K23,2))</f>
        <v>1</v>
      </c>
      <c r="M23" s="31" t="n">
        <f aca="false">SUM(L$5:L23)</f>
        <v>15</v>
      </c>
      <c r="N23" s="30" t="n">
        <f aca="false">N22+1</f>
        <v>46304</v>
      </c>
      <c r="O23" s="31" t="n">
        <f aca="false">INDEX($B$17:$H$17,WEEKDAY(N23,2))</f>
        <v>1</v>
      </c>
      <c r="P23" s="31" t="n">
        <f aca="false">SUM(O$5:O23)</f>
        <v>15</v>
      </c>
      <c r="Q23" s="30" t="n">
        <f aca="false">Q22+1</f>
        <v>46304</v>
      </c>
      <c r="R23" s="31" t="n">
        <f aca="false">INDEX($B$27:$H$27,WEEKDAY(Q23,2))</f>
        <v>1</v>
      </c>
      <c r="S23" s="31" t="n">
        <f aca="false">SUM(R$5:R23)</f>
        <v>15</v>
      </c>
    </row>
    <row r="24" customFormat="false" ht="15" hidden="false" customHeight="false" outlineLevel="0" collapsed="false">
      <c r="A24" s="26" t="s">
        <v>16</v>
      </c>
      <c r="B24" s="26"/>
      <c r="C24" s="26"/>
      <c r="D24" s="26"/>
      <c r="E24" s="26"/>
      <c r="F24" s="26"/>
      <c r="G24" s="26"/>
      <c r="H24" s="26"/>
      <c r="K24" s="30" t="n">
        <f aca="false">K23+1</f>
        <v>46305</v>
      </c>
      <c r="L24" s="31" t="n">
        <f aca="false">INDEX($B$7:$H$7,WEEKDAY(K24,2))</f>
        <v>0</v>
      </c>
      <c r="M24" s="31" t="n">
        <f aca="false">SUM(L$5:L24)</f>
        <v>15</v>
      </c>
      <c r="N24" s="30" t="n">
        <f aca="false">N23+1</f>
        <v>46305</v>
      </c>
      <c r="O24" s="31" t="n">
        <f aca="false">INDEX($B$17:$H$17,WEEKDAY(N24,2))</f>
        <v>0</v>
      </c>
      <c r="P24" s="31" t="n">
        <f aca="false">SUM(O$5:O24)</f>
        <v>15</v>
      </c>
      <c r="Q24" s="30" t="n">
        <f aca="false">Q23+1</f>
        <v>46305</v>
      </c>
      <c r="R24" s="31" t="n">
        <f aca="false">INDEX($B$27:$H$27,WEEKDAY(Q24,2))</f>
        <v>0</v>
      </c>
      <c r="S24" s="31" t="n">
        <f aca="false">SUM(R$5:R24)</f>
        <v>15</v>
      </c>
    </row>
    <row r="25" customFormat="false" ht="15" hidden="false" customHeight="false" outlineLevel="0" collapsed="false">
      <c r="A25" s="28" t="s">
        <v>64</v>
      </c>
      <c r="B25" s="29" t="n">
        <v>46286</v>
      </c>
      <c r="C25" s="2" t="s">
        <v>65</v>
      </c>
      <c r="K25" s="30" t="n">
        <f aca="false">K24+1</f>
        <v>46306</v>
      </c>
      <c r="L25" s="31" t="n">
        <f aca="false">INDEX($B$7:$H$7,WEEKDAY(K25,2))</f>
        <v>0</v>
      </c>
      <c r="M25" s="31" t="n">
        <f aca="false">SUM(L$5:L25)</f>
        <v>15</v>
      </c>
      <c r="N25" s="30" t="n">
        <f aca="false">N24+1</f>
        <v>46306</v>
      </c>
      <c r="O25" s="31" t="n">
        <f aca="false">INDEX($B$17:$H$17,WEEKDAY(N25,2))</f>
        <v>0</v>
      </c>
      <c r="P25" s="31" t="n">
        <f aca="false">SUM(O$5:O25)</f>
        <v>15</v>
      </c>
      <c r="Q25" s="30" t="n">
        <f aca="false">Q24+1</f>
        <v>46306</v>
      </c>
      <c r="R25" s="31" t="n">
        <f aca="false">INDEX($B$27:$H$27,WEEKDAY(Q25,2))</f>
        <v>0</v>
      </c>
      <c r="S25" s="31" t="n">
        <f aca="false">SUM(R$5:R25)</f>
        <v>15</v>
      </c>
    </row>
    <row r="26" customFormat="false" ht="15" hidden="false" customHeight="false" outlineLevel="0" collapsed="false">
      <c r="A26" s="28" t="s">
        <v>66</v>
      </c>
      <c r="B26" s="32" t="s">
        <v>67</v>
      </c>
      <c r="C26" s="32" t="s">
        <v>68</v>
      </c>
      <c r="D26" s="32" t="s">
        <v>69</v>
      </c>
      <c r="E26" s="32" t="s">
        <v>70</v>
      </c>
      <c r="F26" s="32" t="s">
        <v>71</v>
      </c>
      <c r="G26" s="32" t="s">
        <v>72</v>
      </c>
      <c r="H26" s="32" t="s">
        <v>73</v>
      </c>
      <c r="K26" s="30" t="n">
        <f aca="false">K25+1</f>
        <v>46307</v>
      </c>
      <c r="L26" s="31" t="n">
        <f aca="false">INDEX($B$7:$H$7,WEEKDAY(K26,2))</f>
        <v>1</v>
      </c>
      <c r="M26" s="31" t="n">
        <f aca="false">SUM(L$5:L26)</f>
        <v>16</v>
      </c>
      <c r="N26" s="30" t="n">
        <f aca="false">N25+1</f>
        <v>46307</v>
      </c>
      <c r="O26" s="31" t="n">
        <f aca="false">INDEX($B$17:$H$17,WEEKDAY(N26,2))</f>
        <v>1</v>
      </c>
      <c r="P26" s="31" t="n">
        <f aca="false">SUM(O$5:O26)</f>
        <v>16</v>
      </c>
      <c r="Q26" s="30" t="n">
        <f aca="false">Q25+1</f>
        <v>46307</v>
      </c>
      <c r="R26" s="31" t="n">
        <f aca="false">INDEX($B$27:$H$27,WEEKDAY(Q26,2))</f>
        <v>1</v>
      </c>
      <c r="S26" s="31" t="n">
        <f aca="false">SUM(R$5:R26)</f>
        <v>16</v>
      </c>
    </row>
    <row r="27" customFormat="false" ht="15" hidden="false" customHeight="false" outlineLevel="0" collapsed="false">
      <c r="A27" s="28" t="s">
        <v>74</v>
      </c>
      <c r="B27" s="33" t="n">
        <v>1</v>
      </c>
      <c r="C27" s="33" t="n">
        <v>1</v>
      </c>
      <c r="D27" s="33" t="n">
        <v>1</v>
      </c>
      <c r="E27" s="33" t="n">
        <v>1</v>
      </c>
      <c r="F27" s="33" t="n">
        <v>1</v>
      </c>
      <c r="G27" s="33" t="n">
        <v>0</v>
      </c>
      <c r="H27" s="33" t="n">
        <v>0</v>
      </c>
      <c r="K27" s="30" t="n">
        <f aca="false">K26+1</f>
        <v>46308</v>
      </c>
      <c r="L27" s="31" t="n">
        <f aca="false">INDEX($B$7:$H$7,WEEKDAY(K27,2))</f>
        <v>1</v>
      </c>
      <c r="M27" s="31" t="n">
        <f aca="false">SUM(L$5:L27)</f>
        <v>17</v>
      </c>
      <c r="N27" s="30" t="n">
        <f aca="false">N26+1</f>
        <v>46308</v>
      </c>
      <c r="O27" s="31" t="n">
        <f aca="false">INDEX($B$17:$H$17,WEEKDAY(N27,2))</f>
        <v>1</v>
      </c>
      <c r="P27" s="31" t="n">
        <f aca="false">SUM(O$5:O27)</f>
        <v>17</v>
      </c>
      <c r="Q27" s="30" t="n">
        <f aca="false">Q26+1</f>
        <v>46308</v>
      </c>
      <c r="R27" s="31" t="n">
        <f aca="false">INDEX($B$27:$H$27,WEEKDAY(Q27,2))</f>
        <v>1</v>
      </c>
      <c r="S27" s="31" t="n">
        <f aca="false">SUM(R$5:R27)</f>
        <v>17</v>
      </c>
    </row>
    <row r="28" customFormat="false" ht="15" hidden="false" customHeight="false" outlineLevel="0" collapsed="false">
      <c r="A28" s="28" t="s">
        <v>75</v>
      </c>
      <c r="B28" s="33" t="n">
        <v>1</v>
      </c>
      <c r="K28" s="30" t="n">
        <f aca="false">K27+1</f>
        <v>46309</v>
      </c>
      <c r="L28" s="31" t="n">
        <f aca="false">INDEX($B$7:$H$7,WEEKDAY(K28,2))</f>
        <v>1</v>
      </c>
      <c r="M28" s="31" t="n">
        <f aca="false">SUM(L$5:L28)</f>
        <v>18</v>
      </c>
      <c r="N28" s="30" t="n">
        <f aca="false">N27+1</f>
        <v>46309</v>
      </c>
      <c r="O28" s="31" t="n">
        <f aca="false">INDEX($B$17:$H$17,WEEKDAY(N28,2))</f>
        <v>1</v>
      </c>
      <c r="P28" s="31" t="n">
        <f aca="false">SUM(O$5:O28)</f>
        <v>18</v>
      </c>
      <c r="Q28" s="30" t="n">
        <f aca="false">Q27+1</f>
        <v>46309</v>
      </c>
      <c r="R28" s="31" t="n">
        <f aca="false">INDEX($B$27:$H$27,WEEKDAY(Q28,2))</f>
        <v>1</v>
      </c>
      <c r="S28" s="31" t="n">
        <f aca="false">SUM(R$5:R28)</f>
        <v>18</v>
      </c>
    </row>
    <row r="29" customFormat="false" ht="15" hidden="false" customHeight="false" outlineLevel="0" collapsed="false">
      <c r="A29" s="28" t="s">
        <v>76</v>
      </c>
      <c r="B29" s="34" t="n">
        <f aca="false">COUNT('Tier 3 Builders'!$A$5:$A$34)</f>
        <v>30</v>
      </c>
      <c r="K29" s="30" t="n">
        <f aca="false">K28+1</f>
        <v>46310</v>
      </c>
      <c r="L29" s="31" t="n">
        <f aca="false">INDEX($B$7:$H$7,WEEKDAY(K29,2))</f>
        <v>1</v>
      </c>
      <c r="M29" s="31" t="n">
        <f aca="false">SUM(L$5:L29)</f>
        <v>19</v>
      </c>
      <c r="N29" s="30" t="n">
        <f aca="false">N28+1</f>
        <v>46310</v>
      </c>
      <c r="O29" s="31" t="n">
        <f aca="false">INDEX($B$17:$H$17,WEEKDAY(N29,2))</f>
        <v>1</v>
      </c>
      <c r="P29" s="31" t="n">
        <f aca="false">SUM(O$5:O29)</f>
        <v>19</v>
      </c>
      <c r="Q29" s="30" t="n">
        <f aca="false">Q28+1</f>
        <v>46310</v>
      </c>
      <c r="R29" s="31" t="n">
        <f aca="false">INDEX($B$27:$H$27,WEEKDAY(Q29,2))</f>
        <v>1</v>
      </c>
      <c r="S29" s="31" t="n">
        <f aca="false">SUM(R$5:R29)</f>
        <v>19</v>
      </c>
    </row>
    <row r="30" customFormat="false" ht="15" hidden="false" customHeight="false" outlineLevel="0" collapsed="false">
      <c r="A30" s="28" t="s">
        <v>77</v>
      </c>
      <c r="B30" s="34" t="n">
        <f aca="false">IFERROR(ROUNDUP(B29/$B$28,0),"")</f>
        <v>30</v>
      </c>
      <c r="K30" s="30" t="n">
        <f aca="false">K29+1</f>
        <v>46311</v>
      </c>
      <c r="L30" s="31" t="n">
        <f aca="false">INDEX($B$7:$H$7,WEEKDAY(K30,2))</f>
        <v>1</v>
      </c>
      <c r="M30" s="31" t="n">
        <f aca="false">SUM(L$5:L30)</f>
        <v>20</v>
      </c>
      <c r="N30" s="30" t="n">
        <f aca="false">N29+1</f>
        <v>46311</v>
      </c>
      <c r="O30" s="31" t="n">
        <f aca="false">INDEX($B$17:$H$17,WEEKDAY(N30,2))</f>
        <v>1</v>
      </c>
      <c r="P30" s="31" t="n">
        <f aca="false">SUM(O$5:O30)</f>
        <v>20</v>
      </c>
      <c r="Q30" s="30" t="n">
        <f aca="false">Q29+1</f>
        <v>46311</v>
      </c>
      <c r="R30" s="31" t="n">
        <f aca="false">INDEX($B$27:$H$27,WEEKDAY(Q30,2))</f>
        <v>1</v>
      </c>
      <c r="S30" s="31" t="n">
        <f aca="false">SUM(R$5:R30)</f>
        <v>20</v>
      </c>
    </row>
    <row r="31" customFormat="false" ht="15" hidden="false" customHeight="false" outlineLevel="0" collapsed="false">
      <c r="A31" s="28" t="s">
        <v>78</v>
      </c>
      <c r="B31" s="35" t="n">
        <f aca="false">IF(MAX('Tier 3 Builders'!$C$5:$C$34)=0,"",MAX('Tier 3 Builders'!$C$5:$C$34))</f>
        <v>46325</v>
      </c>
      <c r="K31" s="30" t="n">
        <f aca="false">K30+1</f>
        <v>46312</v>
      </c>
      <c r="L31" s="31" t="n">
        <f aca="false">INDEX($B$7:$H$7,WEEKDAY(K31,2))</f>
        <v>0</v>
      </c>
      <c r="M31" s="31" t="n">
        <f aca="false">SUM(L$5:L31)</f>
        <v>20</v>
      </c>
      <c r="N31" s="30" t="n">
        <f aca="false">N30+1</f>
        <v>46312</v>
      </c>
      <c r="O31" s="31" t="n">
        <f aca="false">INDEX($B$17:$H$17,WEEKDAY(N31,2))</f>
        <v>0</v>
      </c>
      <c r="P31" s="31" t="n">
        <f aca="false">SUM(O$5:O31)</f>
        <v>20</v>
      </c>
      <c r="Q31" s="30" t="n">
        <f aca="false">Q30+1</f>
        <v>46312</v>
      </c>
      <c r="R31" s="31" t="n">
        <f aca="false">INDEX($B$27:$H$27,WEEKDAY(Q31,2))</f>
        <v>0</v>
      </c>
      <c r="S31" s="31" t="n">
        <f aca="false">SUM(R$5:R31)</f>
        <v>20</v>
      </c>
    </row>
    <row r="32" customFormat="false" ht="15" hidden="false" customHeight="false" outlineLevel="0" collapsed="false">
      <c r="K32" s="30" t="n">
        <f aca="false">K31+1</f>
        <v>46313</v>
      </c>
      <c r="L32" s="31" t="n">
        <f aca="false">INDEX($B$7:$H$7,WEEKDAY(K32,2))</f>
        <v>0</v>
      </c>
      <c r="M32" s="31" t="n">
        <f aca="false">SUM(L$5:L32)</f>
        <v>20</v>
      </c>
      <c r="N32" s="30" t="n">
        <f aca="false">N31+1</f>
        <v>46313</v>
      </c>
      <c r="O32" s="31" t="n">
        <f aca="false">INDEX($B$17:$H$17,WEEKDAY(N32,2))</f>
        <v>0</v>
      </c>
      <c r="P32" s="31" t="n">
        <f aca="false">SUM(O$5:O32)</f>
        <v>20</v>
      </c>
      <c r="Q32" s="30" t="n">
        <f aca="false">Q31+1</f>
        <v>46313</v>
      </c>
      <c r="R32" s="31" t="n">
        <f aca="false">INDEX($B$27:$H$27,WEEKDAY(Q32,2))</f>
        <v>0</v>
      </c>
      <c r="S32" s="31" t="n">
        <f aca="false">SUM(R$5:R32)</f>
        <v>20</v>
      </c>
    </row>
    <row r="33" customFormat="false" ht="15" hidden="false" customHeight="false" outlineLevel="0" collapsed="false">
      <c r="K33" s="30" t="n">
        <f aca="false">K32+1</f>
        <v>46314</v>
      </c>
      <c r="L33" s="31" t="n">
        <f aca="false">INDEX($B$7:$H$7,WEEKDAY(K33,2))</f>
        <v>1</v>
      </c>
      <c r="M33" s="31" t="n">
        <f aca="false">SUM(L$5:L33)</f>
        <v>21</v>
      </c>
      <c r="N33" s="30" t="n">
        <f aca="false">N32+1</f>
        <v>46314</v>
      </c>
      <c r="O33" s="31" t="n">
        <f aca="false">INDEX($B$17:$H$17,WEEKDAY(N33,2))</f>
        <v>1</v>
      </c>
      <c r="P33" s="31" t="n">
        <f aca="false">SUM(O$5:O33)</f>
        <v>21</v>
      </c>
      <c r="Q33" s="30" t="n">
        <f aca="false">Q32+1</f>
        <v>46314</v>
      </c>
      <c r="R33" s="31" t="n">
        <f aca="false">INDEX($B$27:$H$27,WEEKDAY(Q33,2))</f>
        <v>1</v>
      </c>
      <c r="S33" s="31" t="n">
        <f aca="false">SUM(R$5:R33)</f>
        <v>21</v>
      </c>
    </row>
    <row r="34" customFormat="false" ht="15" hidden="false" customHeight="false" outlineLevel="0" collapsed="false">
      <c r="K34" s="30" t="n">
        <f aca="false">K33+1</f>
        <v>46315</v>
      </c>
      <c r="L34" s="31" t="n">
        <f aca="false">INDEX($B$7:$H$7,WEEKDAY(K34,2))</f>
        <v>1</v>
      </c>
      <c r="M34" s="31" t="n">
        <f aca="false">SUM(L$5:L34)</f>
        <v>22</v>
      </c>
      <c r="N34" s="30" t="n">
        <f aca="false">N33+1</f>
        <v>46315</v>
      </c>
      <c r="O34" s="31" t="n">
        <f aca="false">INDEX($B$17:$H$17,WEEKDAY(N34,2))</f>
        <v>1</v>
      </c>
      <c r="P34" s="31" t="n">
        <f aca="false">SUM(O$5:O34)</f>
        <v>22</v>
      </c>
      <c r="Q34" s="30" t="n">
        <f aca="false">Q33+1</f>
        <v>46315</v>
      </c>
      <c r="R34" s="31" t="n">
        <f aca="false">INDEX($B$27:$H$27,WEEKDAY(Q34,2))</f>
        <v>1</v>
      </c>
      <c r="S34" s="31" t="n">
        <f aca="false">SUM(R$5:R34)</f>
        <v>22</v>
      </c>
    </row>
    <row r="35" customFormat="false" ht="42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  <c r="H35" s="19"/>
      <c r="K35" s="30" t="n">
        <f aca="false">K34+1</f>
        <v>46316</v>
      </c>
      <c r="L35" s="31" t="n">
        <f aca="false">INDEX($B$7:$H$7,WEEKDAY(K35,2))</f>
        <v>1</v>
      </c>
      <c r="M35" s="31" t="n">
        <f aca="false">SUM(L$5:L35)</f>
        <v>23</v>
      </c>
      <c r="N35" s="30" t="n">
        <f aca="false">N34+1</f>
        <v>46316</v>
      </c>
      <c r="O35" s="31" t="n">
        <f aca="false">INDEX($B$17:$H$17,WEEKDAY(N35,2))</f>
        <v>1</v>
      </c>
      <c r="P35" s="31" t="n">
        <f aca="false">SUM(O$5:O35)</f>
        <v>23</v>
      </c>
      <c r="Q35" s="30" t="n">
        <f aca="false">Q34+1</f>
        <v>46316</v>
      </c>
      <c r="R35" s="31" t="n">
        <f aca="false">INDEX($B$27:$H$27,WEEKDAY(Q35,2))</f>
        <v>1</v>
      </c>
      <c r="S35" s="31" t="n">
        <f aca="false">SUM(R$5:R35)</f>
        <v>23</v>
      </c>
    </row>
    <row r="36" customFormat="false" ht="42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  <c r="H36" s="19"/>
      <c r="K36" s="30" t="n">
        <f aca="false">K35+1</f>
        <v>46317</v>
      </c>
      <c r="L36" s="31" t="n">
        <f aca="false">INDEX($B$7:$H$7,WEEKDAY(K36,2))</f>
        <v>1</v>
      </c>
      <c r="M36" s="31" t="n">
        <f aca="false">SUM(L$5:L36)</f>
        <v>24</v>
      </c>
      <c r="N36" s="30" t="n">
        <f aca="false">N35+1</f>
        <v>46317</v>
      </c>
      <c r="O36" s="31" t="n">
        <f aca="false">INDEX($B$17:$H$17,WEEKDAY(N36,2))</f>
        <v>1</v>
      </c>
      <c r="P36" s="31" t="n">
        <f aca="false">SUM(O$5:O36)</f>
        <v>24</v>
      </c>
      <c r="Q36" s="30" t="n">
        <f aca="false">Q35+1</f>
        <v>46317</v>
      </c>
      <c r="R36" s="31" t="n">
        <f aca="false">INDEX($B$27:$H$27,WEEKDAY(Q36,2))</f>
        <v>1</v>
      </c>
      <c r="S36" s="31" t="n">
        <f aca="false">SUM(R$5:R36)</f>
        <v>24</v>
      </c>
    </row>
    <row r="37" customFormat="false" ht="42" hidden="false" customHeight="true" outlineLevel="0" collapsed="false">
      <c r="A37" s="19" t="s">
        <v>81</v>
      </c>
      <c r="B37" s="19"/>
      <c r="C37" s="19"/>
      <c r="D37" s="19"/>
      <c r="E37" s="19"/>
      <c r="F37" s="19"/>
      <c r="G37" s="19"/>
      <c r="H37" s="19"/>
      <c r="K37" s="30" t="n">
        <f aca="false">K36+1</f>
        <v>46318</v>
      </c>
      <c r="L37" s="31" t="n">
        <f aca="false">INDEX($B$7:$H$7,WEEKDAY(K37,2))</f>
        <v>1</v>
      </c>
      <c r="M37" s="31" t="n">
        <f aca="false">SUM(L$5:L37)</f>
        <v>25</v>
      </c>
      <c r="N37" s="30" t="n">
        <f aca="false">N36+1</f>
        <v>46318</v>
      </c>
      <c r="O37" s="31" t="n">
        <f aca="false">INDEX($B$17:$H$17,WEEKDAY(N37,2))</f>
        <v>1</v>
      </c>
      <c r="P37" s="31" t="n">
        <f aca="false">SUM(O$5:O37)</f>
        <v>25</v>
      </c>
      <c r="Q37" s="30" t="n">
        <f aca="false">Q36+1</f>
        <v>46318</v>
      </c>
      <c r="R37" s="31" t="n">
        <f aca="false">INDEX($B$27:$H$27,WEEKDAY(Q37,2))</f>
        <v>1</v>
      </c>
      <c r="S37" s="31" t="n">
        <f aca="false">SUM(R$5:R37)</f>
        <v>25</v>
      </c>
    </row>
    <row r="38" customFormat="false" ht="42" hidden="false" customHeight="true" outlineLevel="0" collapsed="false">
      <c r="A38" s="19" t="s">
        <v>82</v>
      </c>
      <c r="B38" s="19"/>
      <c r="C38" s="19"/>
      <c r="D38" s="19"/>
      <c r="E38" s="19"/>
      <c r="F38" s="19"/>
      <c r="G38" s="19"/>
      <c r="H38" s="19"/>
      <c r="K38" s="30" t="n">
        <f aca="false">K37+1</f>
        <v>46319</v>
      </c>
      <c r="L38" s="31" t="n">
        <f aca="false">INDEX($B$7:$H$7,WEEKDAY(K38,2))</f>
        <v>0</v>
      </c>
      <c r="M38" s="31" t="n">
        <f aca="false">SUM(L$5:L38)</f>
        <v>25</v>
      </c>
      <c r="N38" s="30" t="n">
        <f aca="false">N37+1</f>
        <v>46319</v>
      </c>
      <c r="O38" s="31" t="n">
        <f aca="false">INDEX($B$17:$H$17,WEEKDAY(N38,2))</f>
        <v>0</v>
      </c>
      <c r="P38" s="31" t="n">
        <f aca="false">SUM(O$5:O38)</f>
        <v>25</v>
      </c>
      <c r="Q38" s="30" t="n">
        <f aca="false">Q37+1</f>
        <v>46319</v>
      </c>
      <c r="R38" s="31" t="n">
        <f aca="false">INDEX($B$27:$H$27,WEEKDAY(Q38,2))</f>
        <v>0</v>
      </c>
      <c r="S38" s="31" t="n">
        <f aca="false">SUM(R$5:R38)</f>
        <v>25</v>
      </c>
    </row>
    <row r="39" customFormat="false" ht="15" hidden="false" customHeight="false" outlineLevel="0" collapsed="false">
      <c r="K39" s="30" t="n">
        <f aca="false">K38+1</f>
        <v>46320</v>
      </c>
      <c r="L39" s="31" t="n">
        <f aca="false">INDEX($B$7:$H$7,WEEKDAY(K39,2))</f>
        <v>0</v>
      </c>
      <c r="M39" s="31" t="n">
        <f aca="false">SUM(L$5:L39)</f>
        <v>25</v>
      </c>
      <c r="N39" s="30" t="n">
        <f aca="false">N38+1</f>
        <v>46320</v>
      </c>
      <c r="O39" s="31" t="n">
        <f aca="false">INDEX($B$17:$H$17,WEEKDAY(N39,2))</f>
        <v>0</v>
      </c>
      <c r="P39" s="31" t="n">
        <f aca="false">SUM(O$5:O39)</f>
        <v>25</v>
      </c>
      <c r="Q39" s="30" t="n">
        <f aca="false">Q38+1</f>
        <v>46320</v>
      </c>
      <c r="R39" s="31" t="n">
        <f aca="false">INDEX($B$27:$H$27,WEEKDAY(Q39,2))</f>
        <v>0</v>
      </c>
      <c r="S39" s="31" t="n">
        <f aca="false">SUM(R$5:R39)</f>
        <v>25</v>
      </c>
    </row>
    <row r="40" customFormat="false" ht="15" hidden="false" customHeight="false" outlineLevel="0" collapsed="false">
      <c r="K40" s="30" t="n">
        <f aca="false">K39+1</f>
        <v>46321</v>
      </c>
      <c r="L40" s="31" t="n">
        <f aca="false">INDEX($B$7:$H$7,WEEKDAY(K40,2))</f>
        <v>1</v>
      </c>
      <c r="M40" s="31" t="n">
        <f aca="false">SUM(L$5:L40)</f>
        <v>26</v>
      </c>
      <c r="N40" s="30" t="n">
        <f aca="false">N39+1</f>
        <v>46321</v>
      </c>
      <c r="O40" s="31" t="n">
        <f aca="false">INDEX($B$17:$H$17,WEEKDAY(N40,2))</f>
        <v>1</v>
      </c>
      <c r="P40" s="31" t="n">
        <f aca="false">SUM(O$5:O40)</f>
        <v>26</v>
      </c>
      <c r="Q40" s="30" t="n">
        <f aca="false">Q39+1</f>
        <v>46321</v>
      </c>
      <c r="R40" s="31" t="n">
        <f aca="false">INDEX($B$27:$H$27,WEEKDAY(Q40,2))</f>
        <v>1</v>
      </c>
      <c r="S40" s="31" t="n">
        <f aca="false">SUM(R$5:R40)</f>
        <v>26</v>
      </c>
    </row>
    <row r="41" customFormat="false" ht="15" hidden="false" customHeight="false" outlineLevel="0" collapsed="false">
      <c r="K41" s="30" t="n">
        <f aca="false">K40+1</f>
        <v>46322</v>
      </c>
      <c r="L41" s="31" t="n">
        <f aca="false">INDEX($B$7:$H$7,WEEKDAY(K41,2))</f>
        <v>1</v>
      </c>
      <c r="M41" s="31" t="n">
        <f aca="false">SUM(L$5:L41)</f>
        <v>27</v>
      </c>
      <c r="N41" s="30" t="n">
        <f aca="false">N40+1</f>
        <v>46322</v>
      </c>
      <c r="O41" s="31" t="n">
        <f aca="false">INDEX($B$17:$H$17,WEEKDAY(N41,2))</f>
        <v>1</v>
      </c>
      <c r="P41" s="31" t="n">
        <f aca="false">SUM(O$5:O41)</f>
        <v>27</v>
      </c>
      <c r="Q41" s="30" t="n">
        <f aca="false">Q40+1</f>
        <v>46322</v>
      </c>
      <c r="R41" s="31" t="n">
        <f aca="false">INDEX($B$27:$H$27,WEEKDAY(Q41,2))</f>
        <v>1</v>
      </c>
      <c r="S41" s="31" t="n">
        <f aca="false">SUM(R$5:R41)</f>
        <v>27</v>
      </c>
    </row>
    <row r="42" customFormat="false" ht="15" hidden="false" customHeight="false" outlineLevel="0" collapsed="false">
      <c r="K42" s="30" t="n">
        <f aca="false">K41+1</f>
        <v>46323</v>
      </c>
      <c r="L42" s="31" t="n">
        <f aca="false">INDEX($B$7:$H$7,WEEKDAY(K42,2))</f>
        <v>1</v>
      </c>
      <c r="M42" s="31" t="n">
        <f aca="false">SUM(L$5:L42)</f>
        <v>28</v>
      </c>
      <c r="N42" s="30" t="n">
        <f aca="false">N41+1</f>
        <v>46323</v>
      </c>
      <c r="O42" s="31" t="n">
        <f aca="false">INDEX($B$17:$H$17,WEEKDAY(N42,2))</f>
        <v>1</v>
      </c>
      <c r="P42" s="31" t="n">
        <f aca="false">SUM(O$5:O42)</f>
        <v>28</v>
      </c>
      <c r="Q42" s="30" t="n">
        <f aca="false">Q41+1</f>
        <v>46323</v>
      </c>
      <c r="R42" s="31" t="n">
        <f aca="false">INDEX($B$27:$H$27,WEEKDAY(Q42,2))</f>
        <v>1</v>
      </c>
      <c r="S42" s="31" t="n">
        <f aca="false">SUM(R$5:R42)</f>
        <v>28</v>
      </c>
    </row>
    <row r="43" customFormat="false" ht="15" hidden="false" customHeight="false" outlineLevel="0" collapsed="false">
      <c r="K43" s="30" t="n">
        <f aca="false">K42+1</f>
        <v>46324</v>
      </c>
      <c r="L43" s="31" t="n">
        <f aca="false">INDEX($B$7:$H$7,WEEKDAY(K43,2))</f>
        <v>1</v>
      </c>
      <c r="M43" s="31" t="n">
        <f aca="false">SUM(L$5:L43)</f>
        <v>29</v>
      </c>
      <c r="N43" s="30" t="n">
        <f aca="false">N42+1</f>
        <v>46324</v>
      </c>
      <c r="O43" s="31" t="n">
        <f aca="false">INDEX($B$17:$H$17,WEEKDAY(N43,2))</f>
        <v>1</v>
      </c>
      <c r="P43" s="31" t="n">
        <f aca="false">SUM(O$5:O43)</f>
        <v>29</v>
      </c>
      <c r="Q43" s="30" t="n">
        <f aca="false">Q42+1</f>
        <v>46324</v>
      </c>
      <c r="R43" s="31" t="n">
        <f aca="false">INDEX($B$27:$H$27,WEEKDAY(Q43,2))</f>
        <v>1</v>
      </c>
      <c r="S43" s="31" t="n">
        <f aca="false">SUM(R$5:R43)</f>
        <v>29</v>
      </c>
    </row>
    <row r="44" customFormat="false" ht="15" hidden="false" customHeight="false" outlineLevel="0" collapsed="false">
      <c r="K44" s="30" t="n">
        <f aca="false">K43+1</f>
        <v>46325</v>
      </c>
      <c r="L44" s="31" t="n">
        <f aca="false">INDEX($B$7:$H$7,WEEKDAY(K44,2))</f>
        <v>1</v>
      </c>
      <c r="M44" s="31" t="n">
        <f aca="false">SUM(L$5:L44)</f>
        <v>30</v>
      </c>
      <c r="N44" s="30" t="n">
        <f aca="false">N43+1</f>
        <v>46325</v>
      </c>
      <c r="O44" s="31" t="n">
        <f aca="false">INDEX($B$17:$H$17,WEEKDAY(N44,2))</f>
        <v>1</v>
      </c>
      <c r="P44" s="31" t="n">
        <f aca="false">SUM(O$5:O44)</f>
        <v>30</v>
      </c>
      <c r="Q44" s="30" t="n">
        <f aca="false">Q43+1</f>
        <v>46325</v>
      </c>
      <c r="R44" s="31" t="n">
        <f aca="false">INDEX($B$27:$H$27,WEEKDAY(Q44,2))</f>
        <v>1</v>
      </c>
      <c r="S44" s="31" t="n">
        <f aca="false">SUM(R$5:R44)</f>
        <v>30</v>
      </c>
    </row>
    <row r="45" customFormat="false" ht="15" hidden="false" customHeight="false" outlineLevel="0" collapsed="false">
      <c r="K45" s="30" t="n">
        <f aca="false">K44+1</f>
        <v>46326</v>
      </c>
      <c r="L45" s="31" t="n">
        <f aca="false">INDEX($B$7:$H$7,WEEKDAY(K45,2))</f>
        <v>0</v>
      </c>
      <c r="M45" s="31" t="n">
        <f aca="false">SUM(L$5:L45)</f>
        <v>30</v>
      </c>
      <c r="N45" s="30" t="n">
        <f aca="false">N44+1</f>
        <v>46326</v>
      </c>
      <c r="O45" s="31" t="n">
        <f aca="false">INDEX($B$17:$H$17,WEEKDAY(N45,2))</f>
        <v>0</v>
      </c>
      <c r="P45" s="31" t="n">
        <f aca="false">SUM(O$5:O45)</f>
        <v>30</v>
      </c>
      <c r="Q45" s="30" t="n">
        <f aca="false">Q44+1</f>
        <v>46326</v>
      </c>
      <c r="R45" s="31" t="n">
        <f aca="false">INDEX($B$27:$H$27,WEEKDAY(Q45,2))</f>
        <v>0</v>
      </c>
      <c r="S45" s="31" t="n">
        <f aca="false">SUM(R$5:R45)</f>
        <v>30</v>
      </c>
    </row>
    <row r="46" customFormat="false" ht="15" hidden="false" customHeight="false" outlineLevel="0" collapsed="false">
      <c r="K46" s="30" t="n">
        <f aca="false">K45+1</f>
        <v>46327</v>
      </c>
      <c r="L46" s="31" t="n">
        <f aca="false">INDEX($B$7:$H$7,WEEKDAY(K46,2))</f>
        <v>0</v>
      </c>
      <c r="M46" s="31" t="n">
        <f aca="false">SUM(L$5:L46)</f>
        <v>30</v>
      </c>
      <c r="N46" s="30" t="n">
        <f aca="false">N45+1</f>
        <v>46327</v>
      </c>
      <c r="O46" s="31" t="n">
        <f aca="false">INDEX($B$17:$H$17,WEEKDAY(N46,2))</f>
        <v>0</v>
      </c>
      <c r="P46" s="31" t="n">
        <f aca="false">SUM(O$5:O46)</f>
        <v>30</v>
      </c>
      <c r="Q46" s="30" t="n">
        <f aca="false">Q45+1</f>
        <v>46327</v>
      </c>
      <c r="R46" s="31" t="n">
        <f aca="false">INDEX($B$27:$H$27,WEEKDAY(Q46,2))</f>
        <v>0</v>
      </c>
      <c r="S46" s="31" t="n">
        <f aca="false">SUM(R$5:R46)</f>
        <v>30</v>
      </c>
    </row>
    <row r="47" customFormat="false" ht="15" hidden="false" customHeight="false" outlineLevel="0" collapsed="false">
      <c r="K47" s="30" t="n">
        <f aca="false">K46+1</f>
        <v>46328</v>
      </c>
      <c r="L47" s="31" t="n">
        <f aca="false">INDEX($B$7:$H$7,WEEKDAY(K47,2))</f>
        <v>1</v>
      </c>
      <c r="M47" s="31" t="n">
        <f aca="false">SUM(L$5:L47)</f>
        <v>31</v>
      </c>
      <c r="N47" s="30" t="n">
        <f aca="false">N46+1</f>
        <v>46328</v>
      </c>
      <c r="O47" s="31" t="n">
        <f aca="false">INDEX($B$17:$H$17,WEEKDAY(N47,2))</f>
        <v>1</v>
      </c>
      <c r="P47" s="31" t="n">
        <f aca="false">SUM(O$5:O47)</f>
        <v>31</v>
      </c>
      <c r="Q47" s="30" t="n">
        <f aca="false">Q46+1</f>
        <v>46328</v>
      </c>
      <c r="R47" s="31" t="n">
        <f aca="false">INDEX($B$27:$H$27,WEEKDAY(Q47,2))</f>
        <v>1</v>
      </c>
      <c r="S47" s="31" t="n">
        <f aca="false">SUM(R$5:R47)</f>
        <v>31</v>
      </c>
    </row>
    <row r="48" customFormat="false" ht="15" hidden="false" customHeight="false" outlineLevel="0" collapsed="false">
      <c r="K48" s="30" t="n">
        <f aca="false">K47+1</f>
        <v>46329</v>
      </c>
      <c r="L48" s="31" t="n">
        <f aca="false">INDEX($B$7:$H$7,WEEKDAY(K48,2))</f>
        <v>1</v>
      </c>
      <c r="M48" s="31" t="n">
        <f aca="false">SUM(L$5:L48)</f>
        <v>32</v>
      </c>
      <c r="N48" s="30" t="n">
        <f aca="false">N47+1</f>
        <v>46329</v>
      </c>
      <c r="O48" s="31" t="n">
        <f aca="false">INDEX($B$17:$H$17,WEEKDAY(N48,2))</f>
        <v>1</v>
      </c>
      <c r="P48" s="31" t="n">
        <f aca="false">SUM(O$5:O48)</f>
        <v>32</v>
      </c>
      <c r="Q48" s="30" t="n">
        <f aca="false">Q47+1</f>
        <v>46329</v>
      </c>
      <c r="R48" s="31" t="n">
        <f aca="false">INDEX($B$27:$H$27,WEEKDAY(Q48,2))</f>
        <v>1</v>
      </c>
      <c r="S48" s="31" t="n">
        <f aca="false">SUM(R$5:R48)</f>
        <v>32</v>
      </c>
    </row>
    <row r="49" customFormat="false" ht="15" hidden="false" customHeight="false" outlineLevel="0" collapsed="false">
      <c r="K49" s="30" t="n">
        <f aca="false">K48+1</f>
        <v>46330</v>
      </c>
      <c r="L49" s="31" t="n">
        <f aca="false">INDEX($B$7:$H$7,WEEKDAY(K49,2))</f>
        <v>1</v>
      </c>
      <c r="M49" s="31" t="n">
        <f aca="false">SUM(L$5:L49)</f>
        <v>33</v>
      </c>
      <c r="N49" s="30" t="n">
        <f aca="false">N48+1</f>
        <v>46330</v>
      </c>
      <c r="O49" s="31" t="n">
        <f aca="false">INDEX($B$17:$H$17,WEEKDAY(N49,2))</f>
        <v>1</v>
      </c>
      <c r="P49" s="31" t="n">
        <f aca="false">SUM(O$5:O49)</f>
        <v>33</v>
      </c>
      <c r="Q49" s="30" t="n">
        <f aca="false">Q48+1</f>
        <v>46330</v>
      </c>
      <c r="R49" s="31" t="n">
        <f aca="false">INDEX($B$27:$H$27,WEEKDAY(Q49,2))</f>
        <v>1</v>
      </c>
      <c r="S49" s="31" t="n">
        <f aca="false">SUM(R$5:R49)</f>
        <v>33</v>
      </c>
    </row>
    <row r="50" customFormat="false" ht="15" hidden="false" customHeight="false" outlineLevel="0" collapsed="false">
      <c r="K50" s="30" t="n">
        <f aca="false">K49+1</f>
        <v>46331</v>
      </c>
      <c r="L50" s="31" t="n">
        <f aca="false">INDEX($B$7:$H$7,WEEKDAY(K50,2))</f>
        <v>1</v>
      </c>
      <c r="M50" s="31" t="n">
        <f aca="false">SUM(L$5:L50)</f>
        <v>34</v>
      </c>
      <c r="N50" s="30" t="n">
        <f aca="false">N49+1</f>
        <v>46331</v>
      </c>
      <c r="O50" s="31" t="n">
        <f aca="false">INDEX($B$17:$H$17,WEEKDAY(N50,2))</f>
        <v>1</v>
      </c>
      <c r="P50" s="31" t="n">
        <f aca="false">SUM(O$5:O50)</f>
        <v>34</v>
      </c>
      <c r="Q50" s="30" t="n">
        <f aca="false">Q49+1</f>
        <v>46331</v>
      </c>
      <c r="R50" s="31" t="n">
        <f aca="false">INDEX($B$27:$H$27,WEEKDAY(Q50,2))</f>
        <v>1</v>
      </c>
      <c r="S50" s="31" t="n">
        <f aca="false">SUM(R$5:R50)</f>
        <v>34</v>
      </c>
    </row>
    <row r="51" customFormat="false" ht="15" hidden="false" customHeight="false" outlineLevel="0" collapsed="false">
      <c r="K51" s="30" t="n">
        <f aca="false">K50+1</f>
        <v>46332</v>
      </c>
      <c r="L51" s="31" t="n">
        <f aca="false">INDEX($B$7:$H$7,WEEKDAY(K51,2))</f>
        <v>1</v>
      </c>
      <c r="M51" s="31" t="n">
        <f aca="false">SUM(L$5:L51)</f>
        <v>35</v>
      </c>
      <c r="N51" s="30" t="n">
        <f aca="false">N50+1</f>
        <v>46332</v>
      </c>
      <c r="O51" s="31" t="n">
        <f aca="false">INDEX($B$17:$H$17,WEEKDAY(N51,2))</f>
        <v>1</v>
      </c>
      <c r="P51" s="31" t="n">
        <f aca="false">SUM(O$5:O51)</f>
        <v>35</v>
      </c>
      <c r="Q51" s="30" t="n">
        <f aca="false">Q50+1</f>
        <v>46332</v>
      </c>
      <c r="R51" s="31" t="n">
        <f aca="false">INDEX($B$27:$H$27,WEEKDAY(Q51,2))</f>
        <v>1</v>
      </c>
      <c r="S51" s="31" t="n">
        <f aca="false">SUM(R$5:R51)</f>
        <v>35</v>
      </c>
    </row>
    <row r="52" customFormat="false" ht="15" hidden="false" customHeight="false" outlineLevel="0" collapsed="false">
      <c r="K52" s="30" t="n">
        <f aca="false">K51+1</f>
        <v>46333</v>
      </c>
      <c r="L52" s="31" t="n">
        <f aca="false">INDEX($B$7:$H$7,WEEKDAY(K52,2))</f>
        <v>0</v>
      </c>
      <c r="M52" s="31" t="n">
        <f aca="false">SUM(L$5:L52)</f>
        <v>35</v>
      </c>
      <c r="N52" s="30" t="n">
        <f aca="false">N51+1</f>
        <v>46333</v>
      </c>
      <c r="O52" s="31" t="n">
        <f aca="false">INDEX($B$17:$H$17,WEEKDAY(N52,2))</f>
        <v>0</v>
      </c>
      <c r="P52" s="31" t="n">
        <f aca="false">SUM(O$5:O52)</f>
        <v>35</v>
      </c>
      <c r="Q52" s="30" t="n">
        <f aca="false">Q51+1</f>
        <v>46333</v>
      </c>
      <c r="R52" s="31" t="n">
        <f aca="false">INDEX($B$27:$H$27,WEEKDAY(Q52,2))</f>
        <v>0</v>
      </c>
      <c r="S52" s="31" t="n">
        <f aca="false">SUM(R$5:R52)</f>
        <v>35</v>
      </c>
    </row>
    <row r="53" customFormat="false" ht="15" hidden="false" customHeight="false" outlineLevel="0" collapsed="false">
      <c r="K53" s="30" t="n">
        <f aca="false">K52+1</f>
        <v>46334</v>
      </c>
      <c r="L53" s="31" t="n">
        <f aca="false">INDEX($B$7:$H$7,WEEKDAY(K53,2))</f>
        <v>0</v>
      </c>
      <c r="M53" s="31" t="n">
        <f aca="false">SUM(L$5:L53)</f>
        <v>35</v>
      </c>
      <c r="N53" s="30" t="n">
        <f aca="false">N52+1</f>
        <v>46334</v>
      </c>
      <c r="O53" s="31" t="n">
        <f aca="false">INDEX($B$17:$H$17,WEEKDAY(N53,2))</f>
        <v>0</v>
      </c>
      <c r="P53" s="31" t="n">
        <f aca="false">SUM(O$5:O53)</f>
        <v>35</v>
      </c>
      <c r="Q53" s="30" t="n">
        <f aca="false">Q52+1</f>
        <v>46334</v>
      </c>
      <c r="R53" s="31" t="n">
        <f aca="false">INDEX($B$27:$H$27,WEEKDAY(Q53,2))</f>
        <v>0</v>
      </c>
      <c r="S53" s="31" t="n">
        <f aca="false">SUM(R$5:R53)</f>
        <v>35</v>
      </c>
    </row>
    <row r="54" customFormat="false" ht="15" hidden="false" customHeight="false" outlineLevel="0" collapsed="false">
      <c r="K54" s="30" t="n">
        <f aca="false">K53+1</f>
        <v>46335</v>
      </c>
      <c r="L54" s="31" t="n">
        <f aca="false">INDEX($B$7:$H$7,WEEKDAY(K54,2))</f>
        <v>1</v>
      </c>
      <c r="M54" s="31" t="n">
        <f aca="false">SUM(L$5:L54)</f>
        <v>36</v>
      </c>
      <c r="N54" s="30" t="n">
        <f aca="false">N53+1</f>
        <v>46335</v>
      </c>
      <c r="O54" s="31" t="n">
        <f aca="false">INDEX($B$17:$H$17,WEEKDAY(N54,2))</f>
        <v>1</v>
      </c>
      <c r="P54" s="31" t="n">
        <f aca="false">SUM(O$5:O54)</f>
        <v>36</v>
      </c>
      <c r="Q54" s="30" t="n">
        <f aca="false">Q53+1</f>
        <v>46335</v>
      </c>
      <c r="R54" s="31" t="n">
        <f aca="false">INDEX($B$27:$H$27,WEEKDAY(Q54,2))</f>
        <v>1</v>
      </c>
      <c r="S54" s="31" t="n">
        <f aca="false">SUM(R$5:R54)</f>
        <v>36</v>
      </c>
    </row>
    <row r="55" customFormat="false" ht="15" hidden="false" customHeight="false" outlineLevel="0" collapsed="false">
      <c r="K55" s="30" t="n">
        <f aca="false">K54+1</f>
        <v>46336</v>
      </c>
      <c r="L55" s="31" t="n">
        <f aca="false">INDEX($B$7:$H$7,WEEKDAY(K55,2))</f>
        <v>1</v>
      </c>
      <c r="M55" s="31" t="n">
        <f aca="false">SUM(L$5:L55)</f>
        <v>37</v>
      </c>
      <c r="N55" s="30" t="n">
        <f aca="false">N54+1</f>
        <v>46336</v>
      </c>
      <c r="O55" s="31" t="n">
        <f aca="false">INDEX($B$17:$H$17,WEEKDAY(N55,2))</f>
        <v>1</v>
      </c>
      <c r="P55" s="31" t="n">
        <f aca="false">SUM(O$5:O55)</f>
        <v>37</v>
      </c>
      <c r="Q55" s="30" t="n">
        <f aca="false">Q54+1</f>
        <v>46336</v>
      </c>
      <c r="R55" s="31" t="n">
        <f aca="false">INDEX($B$27:$H$27,WEEKDAY(Q55,2))</f>
        <v>1</v>
      </c>
      <c r="S55" s="31" t="n">
        <f aca="false">SUM(R$5:R55)</f>
        <v>37</v>
      </c>
    </row>
    <row r="56" customFormat="false" ht="15" hidden="false" customHeight="false" outlineLevel="0" collapsed="false">
      <c r="K56" s="30" t="n">
        <f aca="false">K55+1</f>
        <v>46337</v>
      </c>
      <c r="L56" s="31" t="n">
        <f aca="false">INDEX($B$7:$H$7,WEEKDAY(K56,2))</f>
        <v>1</v>
      </c>
      <c r="M56" s="31" t="n">
        <f aca="false">SUM(L$5:L56)</f>
        <v>38</v>
      </c>
      <c r="N56" s="30" t="n">
        <f aca="false">N55+1</f>
        <v>46337</v>
      </c>
      <c r="O56" s="31" t="n">
        <f aca="false">INDEX($B$17:$H$17,WEEKDAY(N56,2))</f>
        <v>1</v>
      </c>
      <c r="P56" s="31" t="n">
        <f aca="false">SUM(O$5:O56)</f>
        <v>38</v>
      </c>
      <c r="Q56" s="30" t="n">
        <f aca="false">Q55+1</f>
        <v>46337</v>
      </c>
      <c r="R56" s="31" t="n">
        <f aca="false">INDEX($B$27:$H$27,WEEKDAY(Q56,2))</f>
        <v>1</v>
      </c>
      <c r="S56" s="31" t="n">
        <f aca="false">SUM(R$5:R56)</f>
        <v>38</v>
      </c>
    </row>
    <row r="57" customFormat="false" ht="15" hidden="false" customHeight="false" outlineLevel="0" collapsed="false">
      <c r="K57" s="30" t="n">
        <f aca="false">K56+1</f>
        <v>46338</v>
      </c>
      <c r="L57" s="31" t="n">
        <f aca="false">INDEX($B$7:$H$7,WEEKDAY(K57,2))</f>
        <v>1</v>
      </c>
      <c r="M57" s="31" t="n">
        <f aca="false">SUM(L$5:L57)</f>
        <v>39</v>
      </c>
      <c r="N57" s="30" t="n">
        <f aca="false">N56+1</f>
        <v>46338</v>
      </c>
      <c r="O57" s="31" t="n">
        <f aca="false">INDEX($B$17:$H$17,WEEKDAY(N57,2))</f>
        <v>1</v>
      </c>
      <c r="P57" s="31" t="n">
        <f aca="false">SUM(O$5:O57)</f>
        <v>39</v>
      </c>
      <c r="Q57" s="30" t="n">
        <f aca="false">Q56+1</f>
        <v>46338</v>
      </c>
      <c r="R57" s="31" t="n">
        <f aca="false">INDEX($B$27:$H$27,WEEKDAY(Q57,2))</f>
        <v>1</v>
      </c>
      <c r="S57" s="31" t="n">
        <f aca="false">SUM(R$5:R57)</f>
        <v>39</v>
      </c>
    </row>
    <row r="58" customFormat="false" ht="15" hidden="false" customHeight="false" outlineLevel="0" collapsed="false">
      <c r="K58" s="30" t="n">
        <f aca="false">K57+1</f>
        <v>46339</v>
      </c>
      <c r="L58" s="31" t="n">
        <f aca="false">INDEX($B$7:$H$7,WEEKDAY(K58,2))</f>
        <v>1</v>
      </c>
      <c r="M58" s="31" t="n">
        <f aca="false">SUM(L$5:L58)</f>
        <v>40</v>
      </c>
      <c r="N58" s="30" t="n">
        <f aca="false">N57+1</f>
        <v>46339</v>
      </c>
      <c r="O58" s="31" t="n">
        <f aca="false">INDEX($B$17:$H$17,WEEKDAY(N58,2))</f>
        <v>1</v>
      </c>
      <c r="P58" s="31" t="n">
        <f aca="false">SUM(O$5:O58)</f>
        <v>40</v>
      </c>
      <c r="Q58" s="30" t="n">
        <f aca="false">Q57+1</f>
        <v>46339</v>
      </c>
      <c r="R58" s="31" t="n">
        <f aca="false">INDEX($B$27:$H$27,WEEKDAY(Q58,2))</f>
        <v>1</v>
      </c>
      <c r="S58" s="31" t="n">
        <f aca="false">SUM(R$5:R58)</f>
        <v>40</v>
      </c>
    </row>
    <row r="59" customFormat="false" ht="15" hidden="false" customHeight="false" outlineLevel="0" collapsed="false">
      <c r="K59" s="30" t="n">
        <f aca="false">K58+1</f>
        <v>46340</v>
      </c>
      <c r="L59" s="31" t="n">
        <f aca="false">INDEX($B$7:$H$7,WEEKDAY(K59,2))</f>
        <v>0</v>
      </c>
      <c r="M59" s="31" t="n">
        <f aca="false">SUM(L$5:L59)</f>
        <v>40</v>
      </c>
      <c r="N59" s="30" t="n">
        <f aca="false">N58+1</f>
        <v>46340</v>
      </c>
      <c r="O59" s="31" t="n">
        <f aca="false">INDEX($B$17:$H$17,WEEKDAY(N59,2))</f>
        <v>0</v>
      </c>
      <c r="P59" s="31" t="n">
        <f aca="false">SUM(O$5:O59)</f>
        <v>40</v>
      </c>
      <c r="Q59" s="30" t="n">
        <f aca="false">Q58+1</f>
        <v>46340</v>
      </c>
      <c r="R59" s="31" t="n">
        <f aca="false">INDEX($B$27:$H$27,WEEKDAY(Q59,2))</f>
        <v>0</v>
      </c>
      <c r="S59" s="31" t="n">
        <f aca="false">SUM(R$5:R59)</f>
        <v>40</v>
      </c>
    </row>
    <row r="60" customFormat="false" ht="15" hidden="false" customHeight="false" outlineLevel="0" collapsed="false">
      <c r="K60" s="30" t="n">
        <f aca="false">K59+1</f>
        <v>46341</v>
      </c>
      <c r="L60" s="31" t="n">
        <f aca="false">INDEX($B$7:$H$7,WEEKDAY(K60,2))</f>
        <v>0</v>
      </c>
      <c r="M60" s="31" t="n">
        <f aca="false">SUM(L$5:L60)</f>
        <v>40</v>
      </c>
      <c r="N60" s="30" t="n">
        <f aca="false">N59+1</f>
        <v>46341</v>
      </c>
      <c r="O60" s="31" t="n">
        <f aca="false">INDEX($B$17:$H$17,WEEKDAY(N60,2))</f>
        <v>0</v>
      </c>
      <c r="P60" s="31" t="n">
        <f aca="false">SUM(O$5:O60)</f>
        <v>40</v>
      </c>
      <c r="Q60" s="30" t="n">
        <f aca="false">Q59+1</f>
        <v>46341</v>
      </c>
      <c r="R60" s="31" t="n">
        <f aca="false">INDEX($B$27:$H$27,WEEKDAY(Q60,2))</f>
        <v>0</v>
      </c>
      <c r="S60" s="31" t="n">
        <f aca="false">SUM(R$5:R60)</f>
        <v>40</v>
      </c>
    </row>
    <row r="61" customFormat="false" ht="15" hidden="false" customHeight="false" outlineLevel="0" collapsed="false">
      <c r="K61" s="30" t="n">
        <f aca="false">K60+1</f>
        <v>46342</v>
      </c>
      <c r="L61" s="31" t="n">
        <f aca="false">INDEX($B$7:$H$7,WEEKDAY(K61,2))</f>
        <v>1</v>
      </c>
      <c r="M61" s="31" t="n">
        <f aca="false">SUM(L$5:L61)</f>
        <v>41</v>
      </c>
      <c r="N61" s="30" t="n">
        <f aca="false">N60+1</f>
        <v>46342</v>
      </c>
      <c r="O61" s="31" t="n">
        <f aca="false">INDEX($B$17:$H$17,WEEKDAY(N61,2))</f>
        <v>1</v>
      </c>
      <c r="P61" s="31" t="n">
        <f aca="false">SUM(O$5:O61)</f>
        <v>41</v>
      </c>
      <c r="Q61" s="30" t="n">
        <f aca="false">Q60+1</f>
        <v>46342</v>
      </c>
      <c r="R61" s="31" t="n">
        <f aca="false">INDEX($B$27:$H$27,WEEKDAY(Q61,2))</f>
        <v>1</v>
      </c>
      <c r="S61" s="31" t="n">
        <f aca="false">SUM(R$5:R61)</f>
        <v>41</v>
      </c>
    </row>
    <row r="62" customFormat="false" ht="15" hidden="false" customHeight="false" outlineLevel="0" collapsed="false">
      <c r="K62" s="30" t="n">
        <f aca="false">K61+1</f>
        <v>46343</v>
      </c>
      <c r="L62" s="31" t="n">
        <f aca="false">INDEX($B$7:$H$7,WEEKDAY(K62,2))</f>
        <v>1</v>
      </c>
      <c r="M62" s="31" t="n">
        <f aca="false">SUM(L$5:L62)</f>
        <v>42</v>
      </c>
      <c r="N62" s="30" t="n">
        <f aca="false">N61+1</f>
        <v>46343</v>
      </c>
      <c r="O62" s="31" t="n">
        <f aca="false">INDEX($B$17:$H$17,WEEKDAY(N62,2))</f>
        <v>1</v>
      </c>
      <c r="P62" s="31" t="n">
        <f aca="false">SUM(O$5:O62)</f>
        <v>42</v>
      </c>
      <c r="Q62" s="30" t="n">
        <f aca="false">Q61+1</f>
        <v>46343</v>
      </c>
      <c r="R62" s="31" t="n">
        <f aca="false">INDEX($B$27:$H$27,WEEKDAY(Q62,2))</f>
        <v>1</v>
      </c>
      <c r="S62" s="31" t="n">
        <f aca="false">SUM(R$5:R62)</f>
        <v>42</v>
      </c>
    </row>
    <row r="63" customFormat="false" ht="15" hidden="false" customHeight="false" outlineLevel="0" collapsed="false">
      <c r="K63" s="30" t="n">
        <f aca="false">K62+1</f>
        <v>46344</v>
      </c>
      <c r="L63" s="31" t="n">
        <f aca="false">INDEX($B$7:$H$7,WEEKDAY(K63,2))</f>
        <v>1</v>
      </c>
      <c r="M63" s="31" t="n">
        <f aca="false">SUM(L$5:L63)</f>
        <v>43</v>
      </c>
      <c r="N63" s="30" t="n">
        <f aca="false">N62+1</f>
        <v>46344</v>
      </c>
      <c r="O63" s="31" t="n">
        <f aca="false">INDEX($B$17:$H$17,WEEKDAY(N63,2))</f>
        <v>1</v>
      </c>
      <c r="P63" s="31" t="n">
        <f aca="false">SUM(O$5:O63)</f>
        <v>43</v>
      </c>
      <c r="Q63" s="30" t="n">
        <f aca="false">Q62+1</f>
        <v>46344</v>
      </c>
      <c r="R63" s="31" t="n">
        <f aca="false">INDEX($B$27:$H$27,WEEKDAY(Q63,2))</f>
        <v>1</v>
      </c>
      <c r="S63" s="31" t="n">
        <f aca="false">SUM(R$5:R63)</f>
        <v>43</v>
      </c>
    </row>
    <row r="64" customFormat="false" ht="15" hidden="false" customHeight="false" outlineLevel="0" collapsed="false">
      <c r="K64" s="30" t="n">
        <f aca="false">K63+1</f>
        <v>46345</v>
      </c>
      <c r="L64" s="31" t="n">
        <f aca="false">INDEX($B$7:$H$7,WEEKDAY(K64,2))</f>
        <v>1</v>
      </c>
      <c r="M64" s="31" t="n">
        <f aca="false">SUM(L$5:L64)</f>
        <v>44</v>
      </c>
      <c r="N64" s="30" t="n">
        <f aca="false">N63+1</f>
        <v>46345</v>
      </c>
      <c r="O64" s="31" t="n">
        <f aca="false">INDEX($B$17:$H$17,WEEKDAY(N64,2))</f>
        <v>1</v>
      </c>
      <c r="P64" s="31" t="n">
        <f aca="false">SUM(O$5:O64)</f>
        <v>44</v>
      </c>
      <c r="Q64" s="30" t="n">
        <f aca="false">Q63+1</f>
        <v>46345</v>
      </c>
      <c r="R64" s="31" t="n">
        <f aca="false">INDEX($B$27:$H$27,WEEKDAY(Q64,2))</f>
        <v>1</v>
      </c>
      <c r="S64" s="31" t="n">
        <f aca="false">SUM(R$5:R64)</f>
        <v>44</v>
      </c>
    </row>
    <row r="65" customFormat="false" ht="15" hidden="false" customHeight="false" outlineLevel="0" collapsed="false">
      <c r="K65" s="30" t="n">
        <f aca="false">K64+1</f>
        <v>46346</v>
      </c>
      <c r="L65" s="31" t="n">
        <f aca="false">INDEX($B$7:$H$7,WEEKDAY(K65,2))</f>
        <v>1</v>
      </c>
      <c r="M65" s="31" t="n">
        <f aca="false">SUM(L$5:L65)</f>
        <v>45</v>
      </c>
      <c r="N65" s="30" t="n">
        <f aca="false">N64+1</f>
        <v>46346</v>
      </c>
      <c r="O65" s="31" t="n">
        <f aca="false">INDEX($B$17:$H$17,WEEKDAY(N65,2))</f>
        <v>1</v>
      </c>
      <c r="P65" s="31" t="n">
        <f aca="false">SUM(O$5:O65)</f>
        <v>45</v>
      </c>
      <c r="Q65" s="30" t="n">
        <f aca="false">Q64+1</f>
        <v>46346</v>
      </c>
      <c r="R65" s="31" t="n">
        <f aca="false">INDEX($B$27:$H$27,WEEKDAY(Q65,2))</f>
        <v>1</v>
      </c>
      <c r="S65" s="31" t="n">
        <f aca="false">SUM(R$5:R65)</f>
        <v>45</v>
      </c>
    </row>
    <row r="66" customFormat="false" ht="15" hidden="false" customHeight="false" outlineLevel="0" collapsed="false">
      <c r="K66" s="30" t="n">
        <f aca="false">K65+1</f>
        <v>46347</v>
      </c>
      <c r="L66" s="31" t="n">
        <f aca="false">INDEX($B$7:$H$7,WEEKDAY(K66,2))</f>
        <v>0</v>
      </c>
      <c r="M66" s="31" t="n">
        <f aca="false">SUM(L$5:L66)</f>
        <v>45</v>
      </c>
      <c r="N66" s="30" t="n">
        <f aca="false">N65+1</f>
        <v>46347</v>
      </c>
      <c r="O66" s="31" t="n">
        <f aca="false">INDEX($B$17:$H$17,WEEKDAY(N66,2))</f>
        <v>0</v>
      </c>
      <c r="P66" s="31" t="n">
        <f aca="false">SUM(O$5:O66)</f>
        <v>45</v>
      </c>
      <c r="Q66" s="30" t="n">
        <f aca="false">Q65+1</f>
        <v>46347</v>
      </c>
      <c r="R66" s="31" t="n">
        <f aca="false">INDEX($B$27:$H$27,WEEKDAY(Q66,2))</f>
        <v>0</v>
      </c>
      <c r="S66" s="31" t="n">
        <f aca="false">SUM(R$5:R66)</f>
        <v>45</v>
      </c>
    </row>
    <row r="67" customFormat="false" ht="15" hidden="false" customHeight="false" outlineLevel="0" collapsed="false">
      <c r="K67" s="30" t="n">
        <f aca="false">K66+1</f>
        <v>46348</v>
      </c>
      <c r="L67" s="31" t="n">
        <f aca="false">INDEX($B$7:$H$7,WEEKDAY(K67,2))</f>
        <v>0</v>
      </c>
      <c r="M67" s="31" t="n">
        <f aca="false">SUM(L$5:L67)</f>
        <v>45</v>
      </c>
      <c r="N67" s="30" t="n">
        <f aca="false">N66+1</f>
        <v>46348</v>
      </c>
      <c r="O67" s="31" t="n">
        <f aca="false">INDEX($B$17:$H$17,WEEKDAY(N67,2))</f>
        <v>0</v>
      </c>
      <c r="P67" s="31" t="n">
        <f aca="false">SUM(O$5:O67)</f>
        <v>45</v>
      </c>
      <c r="Q67" s="30" t="n">
        <f aca="false">Q66+1</f>
        <v>46348</v>
      </c>
      <c r="R67" s="31" t="n">
        <f aca="false">INDEX($B$27:$H$27,WEEKDAY(Q67,2))</f>
        <v>0</v>
      </c>
      <c r="S67" s="31" t="n">
        <f aca="false">SUM(R$5:R67)</f>
        <v>45</v>
      </c>
    </row>
    <row r="68" customFormat="false" ht="15" hidden="false" customHeight="false" outlineLevel="0" collapsed="false">
      <c r="K68" s="30" t="n">
        <f aca="false">K67+1</f>
        <v>46349</v>
      </c>
      <c r="L68" s="31" t="n">
        <f aca="false">INDEX($B$7:$H$7,WEEKDAY(K68,2))</f>
        <v>1</v>
      </c>
      <c r="M68" s="31" t="n">
        <f aca="false">SUM(L$5:L68)</f>
        <v>46</v>
      </c>
      <c r="N68" s="30" t="n">
        <f aca="false">N67+1</f>
        <v>46349</v>
      </c>
      <c r="O68" s="31" t="n">
        <f aca="false">INDEX($B$17:$H$17,WEEKDAY(N68,2))</f>
        <v>1</v>
      </c>
      <c r="P68" s="31" t="n">
        <f aca="false">SUM(O$5:O68)</f>
        <v>46</v>
      </c>
      <c r="Q68" s="30" t="n">
        <f aca="false">Q67+1</f>
        <v>46349</v>
      </c>
      <c r="R68" s="31" t="n">
        <f aca="false">INDEX($B$27:$H$27,WEEKDAY(Q68,2))</f>
        <v>1</v>
      </c>
      <c r="S68" s="31" t="n">
        <f aca="false">SUM(R$5:R68)</f>
        <v>46</v>
      </c>
    </row>
    <row r="69" customFormat="false" ht="15" hidden="false" customHeight="false" outlineLevel="0" collapsed="false">
      <c r="K69" s="30" t="n">
        <f aca="false">K68+1</f>
        <v>46350</v>
      </c>
      <c r="L69" s="31" t="n">
        <f aca="false">INDEX($B$7:$H$7,WEEKDAY(K69,2))</f>
        <v>1</v>
      </c>
      <c r="M69" s="31" t="n">
        <f aca="false">SUM(L$5:L69)</f>
        <v>47</v>
      </c>
      <c r="N69" s="30" t="n">
        <f aca="false">N68+1</f>
        <v>46350</v>
      </c>
      <c r="O69" s="31" t="n">
        <f aca="false">INDEX($B$17:$H$17,WEEKDAY(N69,2))</f>
        <v>1</v>
      </c>
      <c r="P69" s="31" t="n">
        <f aca="false">SUM(O$5:O69)</f>
        <v>47</v>
      </c>
      <c r="Q69" s="30" t="n">
        <f aca="false">Q68+1</f>
        <v>46350</v>
      </c>
      <c r="R69" s="31" t="n">
        <f aca="false">INDEX($B$27:$H$27,WEEKDAY(Q69,2))</f>
        <v>1</v>
      </c>
      <c r="S69" s="31" t="n">
        <f aca="false">SUM(R$5:R69)</f>
        <v>47</v>
      </c>
    </row>
    <row r="70" customFormat="false" ht="15" hidden="false" customHeight="false" outlineLevel="0" collapsed="false">
      <c r="K70" s="30" t="n">
        <f aca="false">K69+1</f>
        <v>46351</v>
      </c>
      <c r="L70" s="31" t="n">
        <f aca="false">INDEX($B$7:$H$7,WEEKDAY(K70,2))</f>
        <v>1</v>
      </c>
      <c r="M70" s="31" t="n">
        <f aca="false">SUM(L$5:L70)</f>
        <v>48</v>
      </c>
      <c r="N70" s="30" t="n">
        <f aca="false">N69+1</f>
        <v>46351</v>
      </c>
      <c r="O70" s="31" t="n">
        <f aca="false">INDEX($B$17:$H$17,WEEKDAY(N70,2))</f>
        <v>1</v>
      </c>
      <c r="P70" s="31" t="n">
        <f aca="false">SUM(O$5:O70)</f>
        <v>48</v>
      </c>
      <c r="Q70" s="30" t="n">
        <f aca="false">Q69+1</f>
        <v>46351</v>
      </c>
      <c r="R70" s="31" t="n">
        <f aca="false">INDEX($B$27:$H$27,WEEKDAY(Q70,2))</f>
        <v>1</v>
      </c>
      <c r="S70" s="31" t="n">
        <f aca="false">SUM(R$5:R70)</f>
        <v>48</v>
      </c>
    </row>
    <row r="71" customFormat="false" ht="15" hidden="false" customHeight="false" outlineLevel="0" collapsed="false">
      <c r="K71" s="30" t="n">
        <f aca="false">K70+1</f>
        <v>46352</v>
      </c>
      <c r="L71" s="31" t="n">
        <f aca="false">INDEX($B$7:$H$7,WEEKDAY(K71,2))</f>
        <v>1</v>
      </c>
      <c r="M71" s="31" t="n">
        <f aca="false">SUM(L$5:L71)</f>
        <v>49</v>
      </c>
      <c r="N71" s="30" t="n">
        <f aca="false">N70+1</f>
        <v>46352</v>
      </c>
      <c r="O71" s="31" t="n">
        <f aca="false">INDEX($B$17:$H$17,WEEKDAY(N71,2))</f>
        <v>1</v>
      </c>
      <c r="P71" s="31" t="n">
        <f aca="false">SUM(O$5:O71)</f>
        <v>49</v>
      </c>
      <c r="Q71" s="30" t="n">
        <f aca="false">Q70+1</f>
        <v>46352</v>
      </c>
      <c r="R71" s="31" t="n">
        <f aca="false">INDEX($B$27:$H$27,WEEKDAY(Q71,2))</f>
        <v>1</v>
      </c>
      <c r="S71" s="31" t="n">
        <f aca="false">SUM(R$5:R71)</f>
        <v>49</v>
      </c>
    </row>
    <row r="72" customFormat="false" ht="15" hidden="false" customHeight="false" outlineLevel="0" collapsed="false">
      <c r="K72" s="30" t="n">
        <f aca="false">K71+1</f>
        <v>46353</v>
      </c>
      <c r="L72" s="31" t="n">
        <f aca="false">INDEX($B$7:$H$7,WEEKDAY(K72,2))</f>
        <v>1</v>
      </c>
      <c r="M72" s="31" t="n">
        <f aca="false">SUM(L$5:L72)</f>
        <v>50</v>
      </c>
      <c r="N72" s="30" t="n">
        <f aca="false">N71+1</f>
        <v>46353</v>
      </c>
      <c r="O72" s="31" t="n">
        <f aca="false">INDEX($B$17:$H$17,WEEKDAY(N72,2))</f>
        <v>1</v>
      </c>
      <c r="P72" s="31" t="n">
        <f aca="false">SUM(O$5:O72)</f>
        <v>50</v>
      </c>
      <c r="Q72" s="30" t="n">
        <f aca="false">Q71+1</f>
        <v>46353</v>
      </c>
      <c r="R72" s="31" t="n">
        <f aca="false">INDEX($B$27:$H$27,WEEKDAY(Q72,2))</f>
        <v>1</v>
      </c>
      <c r="S72" s="31" t="n">
        <f aca="false">SUM(R$5:R72)</f>
        <v>50</v>
      </c>
    </row>
    <row r="73" customFormat="false" ht="15" hidden="false" customHeight="false" outlineLevel="0" collapsed="false">
      <c r="K73" s="30" t="n">
        <f aca="false">K72+1</f>
        <v>46354</v>
      </c>
      <c r="L73" s="31" t="n">
        <f aca="false">INDEX($B$7:$H$7,WEEKDAY(K73,2))</f>
        <v>0</v>
      </c>
      <c r="M73" s="31" t="n">
        <f aca="false">SUM(L$5:L73)</f>
        <v>50</v>
      </c>
      <c r="N73" s="30" t="n">
        <f aca="false">N72+1</f>
        <v>46354</v>
      </c>
      <c r="O73" s="31" t="n">
        <f aca="false">INDEX($B$17:$H$17,WEEKDAY(N73,2))</f>
        <v>0</v>
      </c>
      <c r="P73" s="31" t="n">
        <f aca="false">SUM(O$5:O73)</f>
        <v>50</v>
      </c>
      <c r="Q73" s="30" t="n">
        <f aca="false">Q72+1</f>
        <v>46354</v>
      </c>
      <c r="R73" s="31" t="n">
        <f aca="false">INDEX($B$27:$H$27,WEEKDAY(Q73,2))</f>
        <v>0</v>
      </c>
      <c r="S73" s="31" t="n">
        <f aca="false">SUM(R$5:R73)</f>
        <v>50</v>
      </c>
    </row>
    <row r="74" customFormat="false" ht="15" hidden="false" customHeight="false" outlineLevel="0" collapsed="false">
      <c r="K74" s="30" t="n">
        <f aca="false">K73+1</f>
        <v>46355</v>
      </c>
      <c r="L74" s="31" t="n">
        <f aca="false">INDEX($B$7:$H$7,WEEKDAY(K74,2))</f>
        <v>0</v>
      </c>
      <c r="M74" s="31" t="n">
        <f aca="false">SUM(L$5:L74)</f>
        <v>50</v>
      </c>
      <c r="N74" s="30" t="n">
        <f aca="false">N73+1</f>
        <v>46355</v>
      </c>
      <c r="O74" s="31" t="n">
        <f aca="false">INDEX($B$17:$H$17,WEEKDAY(N74,2))</f>
        <v>0</v>
      </c>
      <c r="P74" s="31" t="n">
        <f aca="false">SUM(O$5:O74)</f>
        <v>50</v>
      </c>
      <c r="Q74" s="30" t="n">
        <f aca="false">Q73+1</f>
        <v>46355</v>
      </c>
      <c r="R74" s="31" t="n">
        <f aca="false">INDEX($B$27:$H$27,WEEKDAY(Q74,2))</f>
        <v>0</v>
      </c>
      <c r="S74" s="31" t="n">
        <f aca="false">SUM(R$5:R74)</f>
        <v>50</v>
      </c>
    </row>
    <row r="75" customFormat="false" ht="15" hidden="false" customHeight="false" outlineLevel="0" collapsed="false">
      <c r="K75" s="30" t="n">
        <f aca="false">K74+1</f>
        <v>46356</v>
      </c>
      <c r="L75" s="31" t="n">
        <f aca="false">INDEX($B$7:$H$7,WEEKDAY(K75,2))</f>
        <v>1</v>
      </c>
      <c r="M75" s="31" t="n">
        <f aca="false">SUM(L$5:L75)</f>
        <v>51</v>
      </c>
      <c r="N75" s="30" t="n">
        <f aca="false">N74+1</f>
        <v>46356</v>
      </c>
      <c r="O75" s="31" t="n">
        <f aca="false">INDEX($B$17:$H$17,WEEKDAY(N75,2))</f>
        <v>1</v>
      </c>
      <c r="P75" s="31" t="n">
        <f aca="false">SUM(O$5:O75)</f>
        <v>51</v>
      </c>
      <c r="Q75" s="30" t="n">
        <f aca="false">Q74+1</f>
        <v>46356</v>
      </c>
      <c r="R75" s="31" t="n">
        <f aca="false">INDEX($B$27:$H$27,WEEKDAY(Q75,2))</f>
        <v>1</v>
      </c>
      <c r="S75" s="31" t="n">
        <f aca="false">SUM(R$5:R75)</f>
        <v>51</v>
      </c>
    </row>
    <row r="76" customFormat="false" ht="15" hidden="false" customHeight="false" outlineLevel="0" collapsed="false">
      <c r="K76" s="30" t="n">
        <f aca="false">K75+1</f>
        <v>46357</v>
      </c>
      <c r="L76" s="31" t="n">
        <f aca="false">INDEX($B$7:$H$7,WEEKDAY(K76,2))</f>
        <v>1</v>
      </c>
      <c r="M76" s="31" t="n">
        <f aca="false">SUM(L$5:L76)</f>
        <v>52</v>
      </c>
      <c r="N76" s="30" t="n">
        <f aca="false">N75+1</f>
        <v>46357</v>
      </c>
      <c r="O76" s="31" t="n">
        <f aca="false">INDEX($B$17:$H$17,WEEKDAY(N76,2))</f>
        <v>1</v>
      </c>
      <c r="P76" s="31" t="n">
        <f aca="false">SUM(O$5:O76)</f>
        <v>52</v>
      </c>
      <c r="Q76" s="30" t="n">
        <f aca="false">Q75+1</f>
        <v>46357</v>
      </c>
      <c r="R76" s="31" t="n">
        <f aca="false">INDEX($B$27:$H$27,WEEKDAY(Q76,2))</f>
        <v>1</v>
      </c>
      <c r="S76" s="31" t="n">
        <f aca="false">SUM(R$5:R76)</f>
        <v>52</v>
      </c>
    </row>
    <row r="77" customFormat="false" ht="15" hidden="false" customHeight="false" outlineLevel="0" collapsed="false">
      <c r="K77" s="30" t="n">
        <f aca="false">K76+1</f>
        <v>46358</v>
      </c>
      <c r="L77" s="31" t="n">
        <f aca="false">INDEX($B$7:$H$7,WEEKDAY(K77,2))</f>
        <v>1</v>
      </c>
      <c r="M77" s="31" t="n">
        <f aca="false">SUM(L$5:L77)</f>
        <v>53</v>
      </c>
      <c r="N77" s="30" t="n">
        <f aca="false">N76+1</f>
        <v>46358</v>
      </c>
      <c r="O77" s="31" t="n">
        <f aca="false">INDEX($B$17:$H$17,WEEKDAY(N77,2))</f>
        <v>1</v>
      </c>
      <c r="P77" s="31" t="n">
        <f aca="false">SUM(O$5:O77)</f>
        <v>53</v>
      </c>
      <c r="Q77" s="30" t="n">
        <f aca="false">Q76+1</f>
        <v>46358</v>
      </c>
      <c r="R77" s="31" t="n">
        <f aca="false">INDEX($B$27:$H$27,WEEKDAY(Q77,2))</f>
        <v>1</v>
      </c>
      <c r="S77" s="31" t="n">
        <f aca="false">SUM(R$5:R77)</f>
        <v>53</v>
      </c>
    </row>
    <row r="78" customFormat="false" ht="15" hidden="false" customHeight="false" outlineLevel="0" collapsed="false">
      <c r="K78" s="30" t="n">
        <f aca="false">K77+1</f>
        <v>46359</v>
      </c>
      <c r="L78" s="31" t="n">
        <f aca="false">INDEX($B$7:$H$7,WEEKDAY(K78,2))</f>
        <v>1</v>
      </c>
      <c r="M78" s="31" t="n">
        <f aca="false">SUM(L$5:L78)</f>
        <v>54</v>
      </c>
      <c r="N78" s="30" t="n">
        <f aca="false">N77+1</f>
        <v>46359</v>
      </c>
      <c r="O78" s="31" t="n">
        <f aca="false">INDEX($B$17:$H$17,WEEKDAY(N78,2))</f>
        <v>1</v>
      </c>
      <c r="P78" s="31" t="n">
        <f aca="false">SUM(O$5:O78)</f>
        <v>54</v>
      </c>
      <c r="Q78" s="30" t="n">
        <f aca="false">Q77+1</f>
        <v>46359</v>
      </c>
      <c r="R78" s="31" t="n">
        <f aca="false">INDEX($B$27:$H$27,WEEKDAY(Q78,2))</f>
        <v>1</v>
      </c>
      <c r="S78" s="31" t="n">
        <f aca="false">SUM(R$5:R78)</f>
        <v>54</v>
      </c>
    </row>
    <row r="79" customFormat="false" ht="15" hidden="false" customHeight="false" outlineLevel="0" collapsed="false">
      <c r="K79" s="30" t="n">
        <f aca="false">K78+1</f>
        <v>46360</v>
      </c>
      <c r="L79" s="31" t="n">
        <f aca="false">INDEX($B$7:$H$7,WEEKDAY(K79,2))</f>
        <v>1</v>
      </c>
      <c r="M79" s="31" t="n">
        <f aca="false">SUM(L$5:L79)</f>
        <v>55</v>
      </c>
      <c r="N79" s="30" t="n">
        <f aca="false">N78+1</f>
        <v>46360</v>
      </c>
      <c r="O79" s="31" t="n">
        <f aca="false">INDEX($B$17:$H$17,WEEKDAY(N79,2))</f>
        <v>1</v>
      </c>
      <c r="P79" s="31" t="n">
        <f aca="false">SUM(O$5:O79)</f>
        <v>55</v>
      </c>
      <c r="Q79" s="30" t="n">
        <f aca="false">Q78+1</f>
        <v>46360</v>
      </c>
      <c r="R79" s="31" t="n">
        <f aca="false">INDEX($B$27:$H$27,WEEKDAY(Q79,2))</f>
        <v>1</v>
      </c>
      <c r="S79" s="31" t="n">
        <f aca="false">SUM(R$5:R79)</f>
        <v>55</v>
      </c>
    </row>
    <row r="80" customFormat="false" ht="15" hidden="false" customHeight="false" outlineLevel="0" collapsed="false">
      <c r="K80" s="30" t="n">
        <f aca="false">K79+1</f>
        <v>46361</v>
      </c>
      <c r="L80" s="31" t="n">
        <f aca="false">INDEX($B$7:$H$7,WEEKDAY(K80,2))</f>
        <v>0</v>
      </c>
      <c r="M80" s="31" t="n">
        <f aca="false">SUM(L$5:L80)</f>
        <v>55</v>
      </c>
      <c r="N80" s="30" t="n">
        <f aca="false">N79+1</f>
        <v>46361</v>
      </c>
      <c r="O80" s="31" t="n">
        <f aca="false">INDEX($B$17:$H$17,WEEKDAY(N80,2))</f>
        <v>0</v>
      </c>
      <c r="P80" s="31" t="n">
        <f aca="false">SUM(O$5:O80)</f>
        <v>55</v>
      </c>
      <c r="Q80" s="30" t="n">
        <f aca="false">Q79+1</f>
        <v>46361</v>
      </c>
      <c r="R80" s="31" t="n">
        <f aca="false">INDEX($B$27:$H$27,WEEKDAY(Q80,2))</f>
        <v>0</v>
      </c>
      <c r="S80" s="31" t="n">
        <f aca="false">SUM(R$5:R80)</f>
        <v>55</v>
      </c>
    </row>
    <row r="81" customFormat="false" ht="15" hidden="false" customHeight="false" outlineLevel="0" collapsed="false">
      <c r="K81" s="30" t="n">
        <f aca="false">K80+1</f>
        <v>46362</v>
      </c>
      <c r="L81" s="31" t="n">
        <f aca="false">INDEX($B$7:$H$7,WEEKDAY(K81,2))</f>
        <v>0</v>
      </c>
      <c r="M81" s="31" t="n">
        <f aca="false">SUM(L$5:L81)</f>
        <v>55</v>
      </c>
      <c r="N81" s="30" t="n">
        <f aca="false">N80+1</f>
        <v>46362</v>
      </c>
      <c r="O81" s="31" t="n">
        <f aca="false">INDEX($B$17:$H$17,WEEKDAY(N81,2))</f>
        <v>0</v>
      </c>
      <c r="P81" s="31" t="n">
        <f aca="false">SUM(O$5:O81)</f>
        <v>55</v>
      </c>
      <c r="Q81" s="30" t="n">
        <f aca="false">Q80+1</f>
        <v>46362</v>
      </c>
      <c r="R81" s="31" t="n">
        <f aca="false">INDEX($B$27:$H$27,WEEKDAY(Q81,2))</f>
        <v>0</v>
      </c>
      <c r="S81" s="31" t="n">
        <f aca="false">SUM(R$5:R81)</f>
        <v>55</v>
      </c>
    </row>
    <row r="82" customFormat="false" ht="15" hidden="false" customHeight="false" outlineLevel="0" collapsed="false">
      <c r="K82" s="30" t="n">
        <f aca="false">K81+1</f>
        <v>46363</v>
      </c>
      <c r="L82" s="31" t="n">
        <f aca="false">INDEX($B$7:$H$7,WEEKDAY(K82,2))</f>
        <v>1</v>
      </c>
      <c r="M82" s="31" t="n">
        <f aca="false">SUM(L$5:L82)</f>
        <v>56</v>
      </c>
      <c r="N82" s="30" t="n">
        <f aca="false">N81+1</f>
        <v>46363</v>
      </c>
      <c r="O82" s="31" t="n">
        <f aca="false">INDEX($B$17:$H$17,WEEKDAY(N82,2))</f>
        <v>1</v>
      </c>
      <c r="P82" s="31" t="n">
        <f aca="false">SUM(O$5:O82)</f>
        <v>56</v>
      </c>
      <c r="Q82" s="30" t="n">
        <f aca="false">Q81+1</f>
        <v>46363</v>
      </c>
      <c r="R82" s="31" t="n">
        <f aca="false">INDEX($B$27:$H$27,WEEKDAY(Q82,2))</f>
        <v>1</v>
      </c>
      <c r="S82" s="31" t="n">
        <f aca="false">SUM(R$5:R82)</f>
        <v>56</v>
      </c>
    </row>
    <row r="83" customFormat="false" ht="15" hidden="false" customHeight="false" outlineLevel="0" collapsed="false">
      <c r="K83" s="30" t="n">
        <f aca="false">K82+1</f>
        <v>46364</v>
      </c>
      <c r="L83" s="31" t="n">
        <f aca="false">INDEX($B$7:$H$7,WEEKDAY(K83,2))</f>
        <v>1</v>
      </c>
      <c r="M83" s="31" t="n">
        <f aca="false">SUM(L$5:L83)</f>
        <v>57</v>
      </c>
      <c r="N83" s="30" t="n">
        <f aca="false">N82+1</f>
        <v>46364</v>
      </c>
      <c r="O83" s="31" t="n">
        <f aca="false">INDEX($B$17:$H$17,WEEKDAY(N83,2))</f>
        <v>1</v>
      </c>
      <c r="P83" s="31" t="n">
        <f aca="false">SUM(O$5:O83)</f>
        <v>57</v>
      </c>
      <c r="Q83" s="30" t="n">
        <f aca="false">Q82+1</f>
        <v>46364</v>
      </c>
      <c r="R83" s="31" t="n">
        <f aca="false">INDEX($B$27:$H$27,WEEKDAY(Q83,2))</f>
        <v>1</v>
      </c>
      <c r="S83" s="31" t="n">
        <f aca="false">SUM(R$5:R83)</f>
        <v>57</v>
      </c>
    </row>
    <row r="84" customFormat="false" ht="15" hidden="false" customHeight="false" outlineLevel="0" collapsed="false">
      <c r="K84" s="30" t="n">
        <f aca="false">K83+1</f>
        <v>46365</v>
      </c>
      <c r="L84" s="31" t="n">
        <f aca="false">INDEX($B$7:$H$7,WEEKDAY(K84,2))</f>
        <v>1</v>
      </c>
      <c r="M84" s="31" t="n">
        <f aca="false">SUM(L$5:L84)</f>
        <v>58</v>
      </c>
      <c r="N84" s="30" t="n">
        <f aca="false">N83+1</f>
        <v>46365</v>
      </c>
      <c r="O84" s="31" t="n">
        <f aca="false">INDEX($B$17:$H$17,WEEKDAY(N84,2))</f>
        <v>1</v>
      </c>
      <c r="P84" s="31" t="n">
        <f aca="false">SUM(O$5:O84)</f>
        <v>58</v>
      </c>
      <c r="Q84" s="30" t="n">
        <f aca="false">Q83+1</f>
        <v>46365</v>
      </c>
      <c r="R84" s="31" t="n">
        <f aca="false">INDEX($B$27:$H$27,WEEKDAY(Q84,2))</f>
        <v>1</v>
      </c>
      <c r="S84" s="31" t="n">
        <f aca="false">SUM(R$5:R84)</f>
        <v>58</v>
      </c>
    </row>
    <row r="85" customFormat="false" ht="15" hidden="false" customHeight="false" outlineLevel="0" collapsed="false">
      <c r="K85" s="30" t="n">
        <f aca="false">K84+1</f>
        <v>46366</v>
      </c>
      <c r="L85" s="31" t="n">
        <f aca="false">INDEX($B$7:$H$7,WEEKDAY(K85,2))</f>
        <v>1</v>
      </c>
      <c r="M85" s="31" t="n">
        <f aca="false">SUM(L$5:L85)</f>
        <v>59</v>
      </c>
      <c r="N85" s="30" t="n">
        <f aca="false">N84+1</f>
        <v>46366</v>
      </c>
      <c r="O85" s="31" t="n">
        <f aca="false">INDEX($B$17:$H$17,WEEKDAY(N85,2))</f>
        <v>1</v>
      </c>
      <c r="P85" s="31" t="n">
        <f aca="false">SUM(O$5:O85)</f>
        <v>59</v>
      </c>
      <c r="Q85" s="30" t="n">
        <f aca="false">Q84+1</f>
        <v>46366</v>
      </c>
      <c r="R85" s="31" t="n">
        <f aca="false">INDEX($B$27:$H$27,WEEKDAY(Q85,2))</f>
        <v>1</v>
      </c>
      <c r="S85" s="31" t="n">
        <f aca="false">SUM(R$5:R85)</f>
        <v>59</v>
      </c>
    </row>
    <row r="86" customFormat="false" ht="15" hidden="false" customHeight="false" outlineLevel="0" collapsed="false">
      <c r="K86" s="30" t="n">
        <f aca="false">K85+1</f>
        <v>46367</v>
      </c>
      <c r="L86" s="31" t="n">
        <f aca="false">INDEX($B$7:$H$7,WEEKDAY(K86,2))</f>
        <v>1</v>
      </c>
      <c r="M86" s="31" t="n">
        <f aca="false">SUM(L$5:L86)</f>
        <v>60</v>
      </c>
      <c r="N86" s="30" t="n">
        <f aca="false">N85+1</f>
        <v>46367</v>
      </c>
      <c r="O86" s="31" t="n">
        <f aca="false">INDEX($B$17:$H$17,WEEKDAY(N86,2))</f>
        <v>1</v>
      </c>
      <c r="P86" s="31" t="n">
        <f aca="false">SUM(O$5:O86)</f>
        <v>60</v>
      </c>
      <c r="Q86" s="30" t="n">
        <f aca="false">Q85+1</f>
        <v>46367</v>
      </c>
      <c r="R86" s="31" t="n">
        <f aca="false">INDEX($B$27:$H$27,WEEKDAY(Q86,2))</f>
        <v>1</v>
      </c>
      <c r="S86" s="31" t="n">
        <f aca="false">SUM(R$5:R86)</f>
        <v>60</v>
      </c>
    </row>
    <row r="87" customFormat="false" ht="15" hidden="false" customHeight="false" outlineLevel="0" collapsed="false">
      <c r="K87" s="30" t="n">
        <f aca="false">K86+1</f>
        <v>46368</v>
      </c>
      <c r="L87" s="31" t="n">
        <f aca="false">INDEX($B$7:$H$7,WEEKDAY(K87,2))</f>
        <v>0</v>
      </c>
      <c r="M87" s="31" t="n">
        <f aca="false">SUM(L$5:L87)</f>
        <v>60</v>
      </c>
      <c r="N87" s="30" t="n">
        <f aca="false">N86+1</f>
        <v>46368</v>
      </c>
      <c r="O87" s="31" t="n">
        <f aca="false">INDEX($B$17:$H$17,WEEKDAY(N87,2))</f>
        <v>0</v>
      </c>
      <c r="P87" s="31" t="n">
        <f aca="false">SUM(O$5:O87)</f>
        <v>60</v>
      </c>
      <c r="Q87" s="30" t="n">
        <f aca="false">Q86+1</f>
        <v>46368</v>
      </c>
      <c r="R87" s="31" t="n">
        <f aca="false">INDEX($B$27:$H$27,WEEKDAY(Q87,2))</f>
        <v>0</v>
      </c>
      <c r="S87" s="31" t="n">
        <f aca="false">SUM(R$5:R87)</f>
        <v>60</v>
      </c>
    </row>
    <row r="88" customFormat="false" ht="15" hidden="false" customHeight="false" outlineLevel="0" collapsed="false">
      <c r="K88" s="30" t="n">
        <f aca="false">K87+1</f>
        <v>46369</v>
      </c>
      <c r="L88" s="31" t="n">
        <f aca="false">INDEX($B$7:$H$7,WEEKDAY(K88,2))</f>
        <v>0</v>
      </c>
      <c r="M88" s="31" t="n">
        <f aca="false">SUM(L$5:L88)</f>
        <v>60</v>
      </c>
      <c r="N88" s="30" t="n">
        <f aca="false">N87+1</f>
        <v>46369</v>
      </c>
      <c r="O88" s="31" t="n">
        <f aca="false">INDEX($B$17:$H$17,WEEKDAY(N88,2))</f>
        <v>0</v>
      </c>
      <c r="P88" s="31" t="n">
        <f aca="false">SUM(O$5:O88)</f>
        <v>60</v>
      </c>
      <c r="Q88" s="30" t="n">
        <f aca="false">Q87+1</f>
        <v>46369</v>
      </c>
      <c r="R88" s="31" t="n">
        <f aca="false">INDEX($B$27:$H$27,WEEKDAY(Q88,2))</f>
        <v>0</v>
      </c>
      <c r="S88" s="31" t="n">
        <f aca="false">SUM(R$5:R88)</f>
        <v>60</v>
      </c>
    </row>
    <row r="89" customFormat="false" ht="15" hidden="false" customHeight="false" outlineLevel="0" collapsed="false">
      <c r="K89" s="30" t="n">
        <f aca="false">K88+1</f>
        <v>46370</v>
      </c>
      <c r="L89" s="31" t="n">
        <f aca="false">INDEX($B$7:$H$7,WEEKDAY(K89,2))</f>
        <v>1</v>
      </c>
      <c r="M89" s="31" t="n">
        <f aca="false">SUM(L$5:L89)</f>
        <v>61</v>
      </c>
      <c r="N89" s="30" t="n">
        <f aca="false">N88+1</f>
        <v>46370</v>
      </c>
      <c r="O89" s="31" t="n">
        <f aca="false">INDEX($B$17:$H$17,WEEKDAY(N89,2))</f>
        <v>1</v>
      </c>
      <c r="P89" s="31" t="n">
        <f aca="false">SUM(O$5:O89)</f>
        <v>61</v>
      </c>
      <c r="Q89" s="30" t="n">
        <f aca="false">Q88+1</f>
        <v>46370</v>
      </c>
      <c r="R89" s="31" t="n">
        <f aca="false">INDEX($B$27:$H$27,WEEKDAY(Q89,2))</f>
        <v>1</v>
      </c>
      <c r="S89" s="31" t="n">
        <f aca="false">SUM(R$5:R89)</f>
        <v>61</v>
      </c>
    </row>
    <row r="90" customFormat="false" ht="15" hidden="false" customHeight="false" outlineLevel="0" collapsed="false">
      <c r="K90" s="30" t="n">
        <f aca="false">K89+1</f>
        <v>46371</v>
      </c>
      <c r="L90" s="31" t="n">
        <f aca="false">INDEX($B$7:$H$7,WEEKDAY(K90,2))</f>
        <v>1</v>
      </c>
      <c r="M90" s="31" t="n">
        <f aca="false">SUM(L$5:L90)</f>
        <v>62</v>
      </c>
      <c r="N90" s="30" t="n">
        <f aca="false">N89+1</f>
        <v>46371</v>
      </c>
      <c r="O90" s="31" t="n">
        <f aca="false">INDEX($B$17:$H$17,WEEKDAY(N90,2))</f>
        <v>1</v>
      </c>
      <c r="P90" s="31" t="n">
        <f aca="false">SUM(O$5:O90)</f>
        <v>62</v>
      </c>
      <c r="Q90" s="30" t="n">
        <f aca="false">Q89+1</f>
        <v>46371</v>
      </c>
      <c r="R90" s="31" t="n">
        <f aca="false">INDEX($B$27:$H$27,WEEKDAY(Q90,2))</f>
        <v>1</v>
      </c>
      <c r="S90" s="31" t="n">
        <f aca="false">SUM(R$5:R90)</f>
        <v>62</v>
      </c>
    </row>
    <row r="91" customFormat="false" ht="15" hidden="false" customHeight="false" outlineLevel="0" collapsed="false">
      <c r="K91" s="30" t="n">
        <f aca="false">K90+1</f>
        <v>46372</v>
      </c>
      <c r="L91" s="31" t="n">
        <f aca="false">INDEX($B$7:$H$7,WEEKDAY(K91,2))</f>
        <v>1</v>
      </c>
      <c r="M91" s="31" t="n">
        <f aca="false">SUM(L$5:L91)</f>
        <v>63</v>
      </c>
      <c r="N91" s="30" t="n">
        <f aca="false">N90+1</f>
        <v>46372</v>
      </c>
      <c r="O91" s="31" t="n">
        <f aca="false">INDEX($B$17:$H$17,WEEKDAY(N91,2))</f>
        <v>1</v>
      </c>
      <c r="P91" s="31" t="n">
        <f aca="false">SUM(O$5:O91)</f>
        <v>63</v>
      </c>
      <c r="Q91" s="30" t="n">
        <f aca="false">Q90+1</f>
        <v>46372</v>
      </c>
      <c r="R91" s="31" t="n">
        <f aca="false">INDEX($B$27:$H$27,WEEKDAY(Q91,2))</f>
        <v>1</v>
      </c>
      <c r="S91" s="31" t="n">
        <f aca="false">SUM(R$5:R91)</f>
        <v>63</v>
      </c>
    </row>
    <row r="92" customFormat="false" ht="15" hidden="false" customHeight="false" outlineLevel="0" collapsed="false">
      <c r="K92" s="30" t="n">
        <f aca="false">K91+1</f>
        <v>46373</v>
      </c>
      <c r="L92" s="31" t="n">
        <f aca="false">INDEX($B$7:$H$7,WEEKDAY(K92,2))</f>
        <v>1</v>
      </c>
      <c r="M92" s="31" t="n">
        <f aca="false">SUM(L$5:L92)</f>
        <v>64</v>
      </c>
      <c r="N92" s="30" t="n">
        <f aca="false">N91+1</f>
        <v>46373</v>
      </c>
      <c r="O92" s="31" t="n">
        <f aca="false">INDEX($B$17:$H$17,WEEKDAY(N92,2))</f>
        <v>1</v>
      </c>
      <c r="P92" s="31" t="n">
        <f aca="false">SUM(O$5:O92)</f>
        <v>64</v>
      </c>
      <c r="Q92" s="30" t="n">
        <f aca="false">Q91+1</f>
        <v>46373</v>
      </c>
      <c r="R92" s="31" t="n">
        <f aca="false">INDEX($B$27:$H$27,WEEKDAY(Q92,2))</f>
        <v>1</v>
      </c>
      <c r="S92" s="31" t="n">
        <f aca="false">SUM(R$5:R92)</f>
        <v>64</v>
      </c>
    </row>
    <row r="93" customFormat="false" ht="15" hidden="false" customHeight="false" outlineLevel="0" collapsed="false">
      <c r="K93" s="30" t="n">
        <f aca="false">K92+1</f>
        <v>46374</v>
      </c>
      <c r="L93" s="31" t="n">
        <f aca="false">INDEX($B$7:$H$7,WEEKDAY(K93,2))</f>
        <v>1</v>
      </c>
      <c r="M93" s="31" t="n">
        <f aca="false">SUM(L$5:L93)</f>
        <v>65</v>
      </c>
      <c r="N93" s="30" t="n">
        <f aca="false">N92+1</f>
        <v>46374</v>
      </c>
      <c r="O93" s="31" t="n">
        <f aca="false">INDEX($B$17:$H$17,WEEKDAY(N93,2))</f>
        <v>1</v>
      </c>
      <c r="P93" s="31" t="n">
        <f aca="false">SUM(O$5:O93)</f>
        <v>65</v>
      </c>
      <c r="Q93" s="30" t="n">
        <f aca="false">Q92+1</f>
        <v>46374</v>
      </c>
      <c r="R93" s="31" t="n">
        <f aca="false">INDEX($B$27:$H$27,WEEKDAY(Q93,2))</f>
        <v>1</v>
      </c>
      <c r="S93" s="31" t="n">
        <f aca="false">SUM(R$5:R93)</f>
        <v>65</v>
      </c>
    </row>
    <row r="94" customFormat="false" ht="15" hidden="false" customHeight="false" outlineLevel="0" collapsed="false">
      <c r="K94" s="30" t="n">
        <f aca="false">K93+1</f>
        <v>46375</v>
      </c>
      <c r="L94" s="31" t="n">
        <f aca="false">INDEX($B$7:$H$7,WEEKDAY(K94,2))</f>
        <v>0</v>
      </c>
      <c r="M94" s="31" t="n">
        <f aca="false">SUM(L$5:L94)</f>
        <v>65</v>
      </c>
      <c r="N94" s="30" t="n">
        <f aca="false">N93+1</f>
        <v>46375</v>
      </c>
      <c r="O94" s="31" t="n">
        <f aca="false">INDEX($B$17:$H$17,WEEKDAY(N94,2))</f>
        <v>0</v>
      </c>
      <c r="P94" s="31" t="n">
        <f aca="false">SUM(O$5:O94)</f>
        <v>65</v>
      </c>
      <c r="Q94" s="30" t="n">
        <f aca="false">Q93+1</f>
        <v>46375</v>
      </c>
      <c r="R94" s="31" t="n">
        <f aca="false">INDEX($B$27:$H$27,WEEKDAY(Q94,2))</f>
        <v>0</v>
      </c>
      <c r="S94" s="31" t="n">
        <f aca="false">SUM(R$5:R94)</f>
        <v>65</v>
      </c>
    </row>
    <row r="95" customFormat="false" ht="15" hidden="false" customHeight="false" outlineLevel="0" collapsed="false">
      <c r="K95" s="30" t="n">
        <f aca="false">K94+1</f>
        <v>46376</v>
      </c>
      <c r="L95" s="31" t="n">
        <f aca="false">INDEX($B$7:$H$7,WEEKDAY(K95,2))</f>
        <v>0</v>
      </c>
      <c r="M95" s="31" t="n">
        <f aca="false">SUM(L$5:L95)</f>
        <v>65</v>
      </c>
      <c r="N95" s="30" t="n">
        <f aca="false">N94+1</f>
        <v>46376</v>
      </c>
      <c r="O95" s="31" t="n">
        <f aca="false">INDEX($B$17:$H$17,WEEKDAY(N95,2))</f>
        <v>0</v>
      </c>
      <c r="P95" s="31" t="n">
        <f aca="false">SUM(O$5:O95)</f>
        <v>65</v>
      </c>
      <c r="Q95" s="30" t="n">
        <f aca="false">Q94+1</f>
        <v>46376</v>
      </c>
      <c r="R95" s="31" t="n">
        <f aca="false">INDEX($B$27:$H$27,WEEKDAY(Q95,2))</f>
        <v>0</v>
      </c>
      <c r="S95" s="31" t="n">
        <f aca="false">SUM(R$5:R95)</f>
        <v>65</v>
      </c>
    </row>
    <row r="96" customFormat="false" ht="15" hidden="false" customHeight="false" outlineLevel="0" collapsed="false">
      <c r="K96" s="30" t="n">
        <f aca="false">K95+1</f>
        <v>46377</v>
      </c>
      <c r="L96" s="31" t="n">
        <f aca="false">INDEX($B$7:$H$7,WEEKDAY(K96,2))</f>
        <v>1</v>
      </c>
      <c r="M96" s="31" t="n">
        <f aca="false">SUM(L$5:L96)</f>
        <v>66</v>
      </c>
      <c r="N96" s="30" t="n">
        <f aca="false">N95+1</f>
        <v>46377</v>
      </c>
      <c r="O96" s="31" t="n">
        <f aca="false">INDEX($B$17:$H$17,WEEKDAY(N96,2))</f>
        <v>1</v>
      </c>
      <c r="P96" s="31" t="n">
        <f aca="false">SUM(O$5:O96)</f>
        <v>66</v>
      </c>
      <c r="Q96" s="30" t="n">
        <f aca="false">Q95+1</f>
        <v>46377</v>
      </c>
      <c r="R96" s="31" t="n">
        <f aca="false">INDEX($B$27:$H$27,WEEKDAY(Q96,2))</f>
        <v>1</v>
      </c>
      <c r="S96" s="31" t="n">
        <f aca="false">SUM(R$5:R96)</f>
        <v>66</v>
      </c>
    </row>
    <row r="97" customFormat="false" ht="15" hidden="false" customHeight="false" outlineLevel="0" collapsed="false">
      <c r="K97" s="30" t="n">
        <f aca="false">K96+1</f>
        <v>46378</v>
      </c>
      <c r="L97" s="31" t="n">
        <f aca="false">INDEX($B$7:$H$7,WEEKDAY(K97,2))</f>
        <v>1</v>
      </c>
      <c r="M97" s="31" t="n">
        <f aca="false">SUM(L$5:L97)</f>
        <v>67</v>
      </c>
      <c r="N97" s="30" t="n">
        <f aca="false">N96+1</f>
        <v>46378</v>
      </c>
      <c r="O97" s="31" t="n">
        <f aca="false">INDEX($B$17:$H$17,WEEKDAY(N97,2))</f>
        <v>1</v>
      </c>
      <c r="P97" s="31" t="n">
        <f aca="false">SUM(O$5:O97)</f>
        <v>67</v>
      </c>
      <c r="Q97" s="30" t="n">
        <f aca="false">Q96+1</f>
        <v>46378</v>
      </c>
      <c r="R97" s="31" t="n">
        <f aca="false">INDEX($B$27:$H$27,WEEKDAY(Q97,2))</f>
        <v>1</v>
      </c>
      <c r="S97" s="31" t="n">
        <f aca="false">SUM(R$5:R97)</f>
        <v>67</v>
      </c>
    </row>
    <row r="98" customFormat="false" ht="15" hidden="false" customHeight="false" outlineLevel="0" collapsed="false">
      <c r="K98" s="30" t="n">
        <f aca="false">K97+1</f>
        <v>46379</v>
      </c>
      <c r="L98" s="31" t="n">
        <f aca="false">INDEX($B$7:$H$7,WEEKDAY(K98,2))</f>
        <v>1</v>
      </c>
      <c r="M98" s="31" t="n">
        <f aca="false">SUM(L$5:L98)</f>
        <v>68</v>
      </c>
      <c r="N98" s="30" t="n">
        <f aca="false">N97+1</f>
        <v>46379</v>
      </c>
      <c r="O98" s="31" t="n">
        <f aca="false">INDEX($B$17:$H$17,WEEKDAY(N98,2))</f>
        <v>1</v>
      </c>
      <c r="P98" s="31" t="n">
        <f aca="false">SUM(O$5:O98)</f>
        <v>68</v>
      </c>
      <c r="Q98" s="30" t="n">
        <f aca="false">Q97+1</f>
        <v>46379</v>
      </c>
      <c r="R98" s="31" t="n">
        <f aca="false">INDEX($B$27:$H$27,WEEKDAY(Q98,2))</f>
        <v>1</v>
      </c>
      <c r="S98" s="31" t="n">
        <f aca="false">SUM(R$5:R98)</f>
        <v>68</v>
      </c>
    </row>
    <row r="99" customFormat="false" ht="15" hidden="false" customHeight="false" outlineLevel="0" collapsed="false">
      <c r="K99" s="30" t="n">
        <f aca="false">K98+1</f>
        <v>46380</v>
      </c>
      <c r="L99" s="31" t="n">
        <f aca="false">INDEX($B$7:$H$7,WEEKDAY(K99,2))</f>
        <v>1</v>
      </c>
      <c r="M99" s="31" t="n">
        <f aca="false">SUM(L$5:L99)</f>
        <v>69</v>
      </c>
      <c r="N99" s="30" t="n">
        <f aca="false">N98+1</f>
        <v>46380</v>
      </c>
      <c r="O99" s="31" t="n">
        <f aca="false">INDEX($B$17:$H$17,WEEKDAY(N99,2))</f>
        <v>1</v>
      </c>
      <c r="P99" s="31" t="n">
        <f aca="false">SUM(O$5:O99)</f>
        <v>69</v>
      </c>
      <c r="Q99" s="30" t="n">
        <f aca="false">Q98+1</f>
        <v>46380</v>
      </c>
      <c r="R99" s="31" t="n">
        <f aca="false">INDEX($B$27:$H$27,WEEKDAY(Q99,2))</f>
        <v>1</v>
      </c>
      <c r="S99" s="31" t="n">
        <f aca="false">SUM(R$5:R99)</f>
        <v>69</v>
      </c>
    </row>
    <row r="100" customFormat="false" ht="15" hidden="false" customHeight="false" outlineLevel="0" collapsed="false">
      <c r="K100" s="30" t="n">
        <f aca="false">K99+1</f>
        <v>46381</v>
      </c>
      <c r="L100" s="31" t="n">
        <f aca="false">INDEX($B$7:$H$7,WEEKDAY(K100,2))</f>
        <v>1</v>
      </c>
      <c r="M100" s="31" t="n">
        <f aca="false">SUM(L$5:L100)</f>
        <v>70</v>
      </c>
      <c r="N100" s="30" t="n">
        <f aca="false">N99+1</f>
        <v>46381</v>
      </c>
      <c r="O100" s="31" t="n">
        <f aca="false">INDEX($B$17:$H$17,WEEKDAY(N100,2))</f>
        <v>1</v>
      </c>
      <c r="P100" s="31" t="n">
        <f aca="false">SUM(O$5:O100)</f>
        <v>70</v>
      </c>
      <c r="Q100" s="30" t="n">
        <f aca="false">Q99+1</f>
        <v>46381</v>
      </c>
      <c r="R100" s="31" t="n">
        <f aca="false">INDEX($B$27:$H$27,WEEKDAY(Q100,2))</f>
        <v>1</v>
      </c>
      <c r="S100" s="31" t="n">
        <f aca="false">SUM(R$5:R100)</f>
        <v>70</v>
      </c>
    </row>
    <row r="101" customFormat="false" ht="15" hidden="false" customHeight="false" outlineLevel="0" collapsed="false">
      <c r="K101" s="30" t="n">
        <f aca="false">K100+1</f>
        <v>46382</v>
      </c>
      <c r="L101" s="31" t="n">
        <f aca="false">INDEX($B$7:$H$7,WEEKDAY(K101,2))</f>
        <v>0</v>
      </c>
      <c r="M101" s="31" t="n">
        <f aca="false">SUM(L$5:L101)</f>
        <v>70</v>
      </c>
      <c r="N101" s="30" t="n">
        <f aca="false">N100+1</f>
        <v>46382</v>
      </c>
      <c r="O101" s="31" t="n">
        <f aca="false">INDEX($B$17:$H$17,WEEKDAY(N101,2))</f>
        <v>0</v>
      </c>
      <c r="P101" s="31" t="n">
        <f aca="false">SUM(O$5:O101)</f>
        <v>70</v>
      </c>
      <c r="Q101" s="30" t="n">
        <f aca="false">Q100+1</f>
        <v>46382</v>
      </c>
      <c r="R101" s="31" t="n">
        <f aca="false">INDEX($B$27:$H$27,WEEKDAY(Q101,2))</f>
        <v>0</v>
      </c>
      <c r="S101" s="31" t="n">
        <f aca="false">SUM(R$5:R101)</f>
        <v>70</v>
      </c>
    </row>
    <row r="102" customFormat="false" ht="15" hidden="false" customHeight="false" outlineLevel="0" collapsed="false">
      <c r="K102" s="30" t="n">
        <f aca="false">K101+1</f>
        <v>46383</v>
      </c>
      <c r="L102" s="31" t="n">
        <f aca="false">INDEX($B$7:$H$7,WEEKDAY(K102,2))</f>
        <v>0</v>
      </c>
      <c r="M102" s="31" t="n">
        <f aca="false">SUM(L$5:L102)</f>
        <v>70</v>
      </c>
      <c r="N102" s="30" t="n">
        <f aca="false">N101+1</f>
        <v>46383</v>
      </c>
      <c r="O102" s="31" t="n">
        <f aca="false">INDEX($B$17:$H$17,WEEKDAY(N102,2))</f>
        <v>0</v>
      </c>
      <c r="P102" s="31" t="n">
        <f aca="false">SUM(O$5:O102)</f>
        <v>70</v>
      </c>
      <c r="Q102" s="30" t="n">
        <f aca="false">Q101+1</f>
        <v>46383</v>
      </c>
      <c r="R102" s="31" t="n">
        <f aca="false">INDEX($B$27:$H$27,WEEKDAY(Q102,2))</f>
        <v>0</v>
      </c>
      <c r="S102" s="31" t="n">
        <f aca="false">SUM(R$5:R102)</f>
        <v>70</v>
      </c>
    </row>
    <row r="103" customFormat="false" ht="15" hidden="false" customHeight="false" outlineLevel="0" collapsed="false">
      <c r="K103" s="30" t="n">
        <f aca="false">K102+1</f>
        <v>46384</v>
      </c>
      <c r="L103" s="31" t="n">
        <f aca="false">INDEX($B$7:$H$7,WEEKDAY(K103,2))</f>
        <v>1</v>
      </c>
      <c r="M103" s="31" t="n">
        <f aca="false">SUM(L$5:L103)</f>
        <v>71</v>
      </c>
      <c r="N103" s="30" t="n">
        <f aca="false">N102+1</f>
        <v>46384</v>
      </c>
      <c r="O103" s="31" t="n">
        <f aca="false">INDEX($B$17:$H$17,WEEKDAY(N103,2))</f>
        <v>1</v>
      </c>
      <c r="P103" s="31" t="n">
        <f aca="false">SUM(O$5:O103)</f>
        <v>71</v>
      </c>
      <c r="Q103" s="30" t="n">
        <f aca="false">Q102+1</f>
        <v>46384</v>
      </c>
      <c r="R103" s="31" t="n">
        <f aca="false">INDEX($B$27:$H$27,WEEKDAY(Q103,2))</f>
        <v>1</v>
      </c>
      <c r="S103" s="31" t="n">
        <f aca="false">SUM(R$5:R103)</f>
        <v>71</v>
      </c>
    </row>
    <row r="104" customFormat="false" ht="15" hidden="false" customHeight="false" outlineLevel="0" collapsed="false">
      <c r="K104" s="30" t="n">
        <f aca="false">K103+1</f>
        <v>46385</v>
      </c>
      <c r="L104" s="31" t="n">
        <f aca="false">INDEX($B$7:$H$7,WEEKDAY(K104,2))</f>
        <v>1</v>
      </c>
      <c r="M104" s="31" t="n">
        <f aca="false">SUM(L$5:L104)</f>
        <v>72</v>
      </c>
      <c r="N104" s="30" t="n">
        <f aca="false">N103+1</f>
        <v>46385</v>
      </c>
      <c r="O104" s="31" t="n">
        <f aca="false">INDEX($B$17:$H$17,WEEKDAY(N104,2))</f>
        <v>1</v>
      </c>
      <c r="P104" s="31" t="n">
        <f aca="false">SUM(O$5:O104)</f>
        <v>72</v>
      </c>
      <c r="Q104" s="30" t="n">
        <f aca="false">Q103+1</f>
        <v>46385</v>
      </c>
      <c r="R104" s="31" t="n">
        <f aca="false">INDEX($B$27:$H$27,WEEKDAY(Q104,2))</f>
        <v>1</v>
      </c>
      <c r="S104" s="31" t="n">
        <f aca="false">SUM(R$5:R104)</f>
        <v>72</v>
      </c>
    </row>
    <row r="105" customFormat="false" ht="15" hidden="false" customHeight="false" outlineLevel="0" collapsed="false">
      <c r="K105" s="30" t="n">
        <f aca="false">K104+1</f>
        <v>46386</v>
      </c>
      <c r="L105" s="31" t="n">
        <f aca="false">INDEX($B$7:$H$7,WEEKDAY(K105,2))</f>
        <v>1</v>
      </c>
      <c r="M105" s="31" t="n">
        <f aca="false">SUM(L$5:L105)</f>
        <v>73</v>
      </c>
      <c r="N105" s="30" t="n">
        <f aca="false">N104+1</f>
        <v>46386</v>
      </c>
      <c r="O105" s="31" t="n">
        <f aca="false">INDEX($B$17:$H$17,WEEKDAY(N105,2))</f>
        <v>1</v>
      </c>
      <c r="P105" s="31" t="n">
        <f aca="false">SUM(O$5:O105)</f>
        <v>73</v>
      </c>
      <c r="Q105" s="30" t="n">
        <f aca="false">Q104+1</f>
        <v>46386</v>
      </c>
      <c r="R105" s="31" t="n">
        <f aca="false">INDEX($B$27:$H$27,WEEKDAY(Q105,2))</f>
        <v>1</v>
      </c>
      <c r="S105" s="31" t="n">
        <f aca="false">SUM(R$5:R105)</f>
        <v>73</v>
      </c>
    </row>
    <row r="106" customFormat="false" ht="15" hidden="false" customHeight="false" outlineLevel="0" collapsed="false">
      <c r="K106" s="30" t="n">
        <f aca="false">K105+1</f>
        <v>46387</v>
      </c>
      <c r="L106" s="31" t="n">
        <f aca="false">INDEX($B$7:$H$7,WEEKDAY(K106,2))</f>
        <v>1</v>
      </c>
      <c r="M106" s="31" t="n">
        <f aca="false">SUM(L$5:L106)</f>
        <v>74</v>
      </c>
      <c r="N106" s="30" t="n">
        <f aca="false">N105+1</f>
        <v>46387</v>
      </c>
      <c r="O106" s="31" t="n">
        <f aca="false">INDEX($B$17:$H$17,WEEKDAY(N106,2))</f>
        <v>1</v>
      </c>
      <c r="P106" s="31" t="n">
        <f aca="false">SUM(O$5:O106)</f>
        <v>74</v>
      </c>
      <c r="Q106" s="30" t="n">
        <f aca="false">Q105+1</f>
        <v>46387</v>
      </c>
      <c r="R106" s="31" t="n">
        <f aca="false">INDEX($B$27:$H$27,WEEKDAY(Q106,2))</f>
        <v>1</v>
      </c>
      <c r="S106" s="31" t="n">
        <f aca="false">SUM(R$5:R106)</f>
        <v>74</v>
      </c>
    </row>
    <row r="107" customFormat="false" ht="15" hidden="false" customHeight="false" outlineLevel="0" collapsed="false">
      <c r="K107" s="30" t="n">
        <f aca="false">K106+1</f>
        <v>46388</v>
      </c>
      <c r="L107" s="31" t="n">
        <f aca="false">INDEX($B$7:$H$7,WEEKDAY(K107,2))</f>
        <v>1</v>
      </c>
      <c r="M107" s="31" t="n">
        <f aca="false">SUM(L$5:L107)</f>
        <v>75</v>
      </c>
      <c r="N107" s="30" t="n">
        <f aca="false">N106+1</f>
        <v>46388</v>
      </c>
      <c r="O107" s="31" t="n">
        <f aca="false">INDEX($B$17:$H$17,WEEKDAY(N107,2))</f>
        <v>1</v>
      </c>
      <c r="P107" s="31" t="n">
        <f aca="false">SUM(O$5:O107)</f>
        <v>75</v>
      </c>
      <c r="Q107" s="30" t="n">
        <f aca="false">Q106+1</f>
        <v>46388</v>
      </c>
      <c r="R107" s="31" t="n">
        <f aca="false">INDEX($B$27:$H$27,WEEKDAY(Q107,2))</f>
        <v>1</v>
      </c>
      <c r="S107" s="31" t="n">
        <f aca="false">SUM(R$5:R107)</f>
        <v>75</v>
      </c>
    </row>
    <row r="108" customFormat="false" ht="15" hidden="false" customHeight="false" outlineLevel="0" collapsed="false">
      <c r="K108" s="30" t="n">
        <f aca="false">K107+1</f>
        <v>46389</v>
      </c>
      <c r="L108" s="31" t="n">
        <f aca="false">INDEX($B$7:$H$7,WEEKDAY(K108,2))</f>
        <v>0</v>
      </c>
      <c r="M108" s="31" t="n">
        <f aca="false">SUM(L$5:L108)</f>
        <v>75</v>
      </c>
      <c r="N108" s="30" t="n">
        <f aca="false">N107+1</f>
        <v>46389</v>
      </c>
      <c r="O108" s="31" t="n">
        <f aca="false">INDEX($B$17:$H$17,WEEKDAY(N108,2))</f>
        <v>0</v>
      </c>
      <c r="P108" s="31" t="n">
        <f aca="false">SUM(O$5:O108)</f>
        <v>75</v>
      </c>
      <c r="Q108" s="30" t="n">
        <f aca="false">Q107+1</f>
        <v>46389</v>
      </c>
      <c r="R108" s="31" t="n">
        <f aca="false">INDEX($B$27:$H$27,WEEKDAY(Q108,2))</f>
        <v>0</v>
      </c>
      <c r="S108" s="31" t="n">
        <f aca="false">SUM(R$5:R108)</f>
        <v>75</v>
      </c>
    </row>
    <row r="109" customFormat="false" ht="15" hidden="false" customHeight="false" outlineLevel="0" collapsed="false">
      <c r="K109" s="30" t="n">
        <f aca="false">K108+1</f>
        <v>46390</v>
      </c>
      <c r="L109" s="31" t="n">
        <f aca="false">INDEX($B$7:$H$7,WEEKDAY(K109,2))</f>
        <v>0</v>
      </c>
      <c r="M109" s="31" t="n">
        <f aca="false">SUM(L$5:L109)</f>
        <v>75</v>
      </c>
      <c r="N109" s="30" t="n">
        <f aca="false">N108+1</f>
        <v>46390</v>
      </c>
      <c r="O109" s="31" t="n">
        <f aca="false">INDEX($B$17:$H$17,WEEKDAY(N109,2))</f>
        <v>0</v>
      </c>
      <c r="P109" s="31" t="n">
        <f aca="false">SUM(O$5:O109)</f>
        <v>75</v>
      </c>
      <c r="Q109" s="30" t="n">
        <f aca="false">Q108+1</f>
        <v>46390</v>
      </c>
      <c r="R109" s="31" t="n">
        <f aca="false">INDEX($B$27:$H$27,WEEKDAY(Q109,2))</f>
        <v>0</v>
      </c>
      <c r="S109" s="31" t="n">
        <f aca="false">SUM(R$5:R109)</f>
        <v>75</v>
      </c>
    </row>
    <row r="110" customFormat="false" ht="15" hidden="false" customHeight="false" outlineLevel="0" collapsed="false">
      <c r="K110" s="30" t="n">
        <f aca="false">K109+1</f>
        <v>46391</v>
      </c>
      <c r="L110" s="31" t="n">
        <f aca="false">INDEX($B$7:$H$7,WEEKDAY(K110,2))</f>
        <v>1</v>
      </c>
      <c r="M110" s="31" t="n">
        <f aca="false">SUM(L$5:L110)</f>
        <v>76</v>
      </c>
      <c r="N110" s="30" t="n">
        <f aca="false">N109+1</f>
        <v>46391</v>
      </c>
      <c r="O110" s="31" t="n">
        <f aca="false">INDEX($B$17:$H$17,WEEKDAY(N110,2))</f>
        <v>1</v>
      </c>
      <c r="P110" s="31" t="n">
        <f aca="false">SUM(O$5:O110)</f>
        <v>76</v>
      </c>
      <c r="Q110" s="30" t="n">
        <f aca="false">Q109+1</f>
        <v>46391</v>
      </c>
      <c r="R110" s="31" t="n">
        <f aca="false">INDEX($B$27:$H$27,WEEKDAY(Q110,2))</f>
        <v>1</v>
      </c>
      <c r="S110" s="31" t="n">
        <f aca="false">SUM(R$5:R110)</f>
        <v>76</v>
      </c>
    </row>
    <row r="111" customFormat="false" ht="15" hidden="false" customHeight="false" outlineLevel="0" collapsed="false">
      <c r="K111" s="30" t="n">
        <f aca="false">K110+1</f>
        <v>46392</v>
      </c>
      <c r="L111" s="31" t="n">
        <f aca="false">INDEX($B$7:$H$7,WEEKDAY(K111,2))</f>
        <v>1</v>
      </c>
      <c r="M111" s="31" t="n">
        <f aca="false">SUM(L$5:L111)</f>
        <v>77</v>
      </c>
      <c r="N111" s="30" t="n">
        <f aca="false">N110+1</f>
        <v>46392</v>
      </c>
      <c r="O111" s="31" t="n">
        <f aca="false">INDEX($B$17:$H$17,WEEKDAY(N111,2))</f>
        <v>1</v>
      </c>
      <c r="P111" s="31" t="n">
        <f aca="false">SUM(O$5:O111)</f>
        <v>77</v>
      </c>
      <c r="Q111" s="30" t="n">
        <f aca="false">Q110+1</f>
        <v>46392</v>
      </c>
      <c r="R111" s="31" t="n">
        <f aca="false">INDEX($B$27:$H$27,WEEKDAY(Q111,2))</f>
        <v>1</v>
      </c>
      <c r="S111" s="31" t="n">
        <f aca="false">SUM(R$5:R111)</f>
        <v>77</v>
      </c>
    </row>
    <row r="112" customFormat="false" ht="15" hidden="false" customHeight="false" outlineLevel="0" collapsed="false">
      <c r="K112" s="30" t="n">
        <f aca="false">K111+1</f>
        <v>46393</v>
      </c>
      <c r="L112" s="31" t="n">
        <f aca="false">INDEX($B$7:$H$7,WEEKDAY(K112,2))</f>
        <v>1</v>
      </c>
      <c r="M112" s="31" t="n">
        <f aca="false">SUM(L$5:L112)</f>
        <v>78</v>
      </c>
      <c r="N112" s="30" t="n">
        <f aca="false">N111+1</f>
        <v>46393</v>
      </c>
      <c r="O112" s="31" t="n">
        <f aca="false">INDEX($B$17:$H$17,WEEKDAY(N112,2))</f>
        <v>1</v>
      </c>
      <c r="P112" s="31" t="n">
        <f aca="false">SUM(O$5:O112)</f>
        <v>78</v>
      </c>
      <c r="Q112" s="30" t="n">
        <f aca="false">Q111+1</f>
        <v>46393</v>
      </c>
      <c r="R112" s="31" t="n">
        <f aca="false">INDEX($B$27:$H$27,WEEKDAY(Q112,2))</f>
        <v>1</v>
      </c>
      <c r="S112" s="31" t="n">
        <f aca="false">SUM(R$5:R112)</f>
        <v>78</v>
      </c>
    </row>
    <row r="113" customFormat="false" ht="15" hidden="false" customHeight="false" outlineLevel="0" collapsed="false">
      <c r="K113" s="30" t="n">
        <f aca="false">K112+1</f>
        <v>46394</v>
      </c>
      <c r="L113" s="31" t="n">
        <f aca="false">INDEX($B$7:$H$7,WEEKDAY(K113,2))</f>
        <v>1</v>
      </c>
      <c r="M113" s="31" t="n">
        <f aca="false">SUM(L$5:L113)</f>
        <v>79</v>
      </c>
      <c r="N113" s="30" t="n">
        <f aca="false">N112+1</f>
        <v>46394</v>
      </c>
      <c r="O113" s="31" t="n">
        <f aca="false">INDEX($B$17:$H$17,WEEKDAY(N113,2))</f>
        <v>1</v>
      </c>
      <c r="P113" s="31" t="n">
        <f aca="false">SUM(O$5:O113)</f>
        <v>79</v>
      </c>
      <c r="Q113" s="30" t="n">
        <f aca="false">Q112+1</f>
        <v>46394</v>
      </c>
      <c r="R113" s="31" t="n">
        <f aca="false">INDEX($B$27:$H$27,WEEKDAY(Q113,2))</f>
        <v>1</v>
      </c>
      <c r="S113" s="31" t="n">
        <f aca="false">SUM(R$5:R113)</f>
        <v>79</v>
      </c>
    </row>
    <row r="114" customFormat="false" ht="15" hidden="false" customHeight="false" outlineLevel="0" collapsed="false">
      <c r="K114" s="30" t="n">
        <f aca="false">K113+1</f>
        <v>46395</v>
      </c>
      <c r="L114" s="31" t="n">
        <f aca="false">INDEX($B$7:$H$7,WEEKDAY(K114,2))</f>
        <v>1</v>
      </c>
      <c r="M114" s="31" t="n">
        <f aca="false">SUM(L$5:L114)</f>
        <v>80</v>
      </c>
      <c r="N114" s="30" t="n">
        <f aca="false">N113+1</f>
        <v>46395</v>
      </c>
      <c r="O114" s="31" t="n">
        <f aca="false">INDEX($B$17:$H$17,WEEKDAY(N114,2))</f>
        <v>1</v>
      </c>
      <c r="P114" s="31" t="n">
        <f aca="false">SUM(O$5:O114)</f>
        <v>80</v>
      </c>
      <c r="Q114" s="30" t="n">
        <f aca="false">Q113+1</f>
        <v>46395</v>
      </c>
      <c r="R114" s="31" t="n">
        <f aca="false">INDEX($B$27:$H$27,WEEKDAY(Q114,2))</f>
        <v>1</v>
      </c>
      <c r="S114" s="31" t="n">
        <f aca="false">SUM(R$5:R114)</f>
        <v>80</v>
      </c>
    </row>
    <row r="115" customFormat="false" ht="15" hidden="false" customHeight="false" outlineLevel="0" collapsed="false">
      <c r="K115" s="30" t="n">
        <f aca="false">K114+1</f>
        <v>46396</v>
      </c>
      <c r="L115" s="31" t="n">
        <f aca="false">INDEX($B$7:$H$7,WEEKDAY(K115,2))</f>
        <v>0</v>
      </c>
      <c r="M115" s="31" t="n">
        <f aca="false">SUM(L$5:L115)</f>
        <v>80</v>
      </c>
      <c r="N115" s="30" t="n">
        <f aca="false">N114+1</f>
        <v>46396</v>
      </c>
      <c r="O115" s="31" t="n">
        <f aca="false">INDEX($B$17:$H$17,WEEKDAY(N115,2))</f>
        <v>0</v>
      </c>
      <c r="P115" s="31" t="n">
        <f aca="false">SUM(O$5:O115)</f>
        <v>80</v>
      </c>
      <c r="Q115" s="30" t="n">
        <f aca="false">Q114+1</f>
        <v>46396</v>
      </c>
      <c r="R115" s="31" t="n">
        <f aca="false">INDEX($B$27:$H$27,WEEKDAY(Q115,2))</f>
        <v>0</v>
      </c>
      <c r="S115" s="31" t="n">
        <f aca="false">SUM(R$5:R115)</f>
        <v>80</v>
      </c>
    </row>
    <row r="116" customFormat="false" ht="15" hidden="false" customHeight="false" outlineLevel="0" collapsed="false">
      <c r="K116" s="30" t="n">
        <f aca="false">K115+1</f>
        <v>46397</v>
      </c>
      <c r="L116" s="31" t="n">
        <f aca="false">INDEX($B$7:$H$7,WEEKDAY(K116,2))</f>
        <v>0</v>
      </c>
      <c r="M116" s="31" t="n">
        <f aca="false">SUM(L$5:L116)</f>
        <v>80</v>
      </c>
      <c r="N116" s="30" t="n">
        <f aca="false">N115+1</f>
        <v>46397</v>
      </c>
      <c r="O116" s="31" t="n">
        <f aca="false">INDEX($B$17:$H$17,WEEKDAY(N116,2))</f>
        <v>0</v>
      </c>
      <c r="P116" s="31" t="n">
        <f aca="false">SUM(O$5:O116)</f>
        <v>80</v>
      </c>
      <c r="Q116" s="30" t="n">
        <f aca="false">Q115+1</f>
        <v>46397</v>
      </c>
      <c r="R116" s="31" t="n">
        <f aca="false">INDEX($B$27:$H$27,WEEKDAY(Q116,2))</f>
        <v>0</v>
      </c>
      <c r="S116" s="31" t="n">
        <f aca="false">SUM(R$5:R116)</f>
        <v>80</v>
      </c>
    </row>
    <row r="117" customFormat="false" ht="15" hidden="false" customHeight="false" outlineLevel="0" collapsed="false">
      <c r="K117" s="30" t="n">
        <f aca="false">K116+1</f>
        <v>46398</v>
      </c>
      <c r="L117" s="31" t="n">
        <f aca="false">INDEX($B$7:$H$7,WEEKDAY(K117,2))</f>
        <v>1</v>
      </c>
      <c r="M117" s="31" t="n">
        <f aca="false">SUM(L$5:L117)</f>
        <v>81</v>
      </c>
      <c r="N117" s="30" t="n">
        <f aca="false">N116+1</f>
        <v>46398</v>
      </c>
      <c r="O117" s="31" t="n">
        <f aca="false">INDEX($B$17:$H$17,WEEKDAY(N117,2))</f>
        <v>1</v>
      </c>
      <c r="P117" s="31" t="n">
        <f aca="false">SUM(O$5:O117)</f>
        <v>81</v>
      </c>
      <c r="Q117" s="30" t="n">
        <f aca="false">Q116+1</f>
        <v>46398</v>
      </c>
      <c r="R117" s="31" t="n">
        <f aca="false">INDEX($B$27:$H$27,WEEKDAY(Q117,2))</f>
        <v>1</v>
      </c>
      <c r="S117" s="31" t="n">
        <f aca="false">SUM(R$5:R117)</f>
        <v>81</v>
      </c>
    </row>
    <row r="118" customFormat="false" ht="15" hidden="false" customHeight="false" outlineLevel="0" collapsed="false">
      <c r="K118" s="30" t="n">
        <f aca="false">K117+1</f>
        <v>46399</v>
      </c>
      <c r="L118" s="31" t="n">
        <f aca="false">INDEX($B$7:$H$7,WEEKDAY(K118,2))</f>
        <v>1</v>
      </c>
      <c r="M118" s="31" t="n">
        <f aca="false">SUM(L$5:L118)</f>
        <v>82</v>
      </c>
      <c r="N118" s="30" t="n">
        <f aca="false">N117+1</f>
        <v>46399</v>
      </c>
      <c r="O118" s="31" t="n">
        <f aca="false">INDEX($B$17:$H$17,WEEKDAY(N118,2))</f>
        <v>1</v>
      </c>
      <c r="P118" s="31" t="n">
        <f aca="false">SUM(O$5:O118)</f>
        <v>82</v>
      </c>
      <c r="Q118" s="30" t="n">
        <f aca="false">Q117+1</f>
        <v>46399</v>
      </c>
      <c r="R118" s="31" t="n">
        <f aca="false">INDEX($B$27:$H$27,WEEKDAY(Q118,2))</f>
        <v>1</v>
      </c>
      <c r="S118" s="31" t="n">
        <f aca="false">SUM(R$5:R118)</f>
        <v>82</v>
      </c>
    </row>
    <row r="119" customFormat="false" ht="15" hidden="false" customHeight="false" outlineLevel="0" collapsed="false">
      <c r="K119" s="30" t="n">
        <f aca="false">K118+1</f>
        <v>46400</v>
      </c>
      <c r="L119" s="31" t="n">
        <f aca="false">INDEX($B$7:$H$7,WEEKDAY(K119,2))</f>
        <v>1</v>
      </c>
      <c r="M119" s="31" t="n">
        <f aca="false">SUM(L$5:L119)</f>
        <v>83</v>
      </c>
      <c r="N119" s="30" t="n">
        <f aca="false">N118+1</f>
        <v>46400</v>
      </c>
      <c r="O119" s="31" t="n">
        <f aca="false">INDEX($B$17:$H$17,WEEKDAY(N119,2))</f>
        <v>1</v>
      </c>
      <c r="P119" s="31" t="n">
        <f aca="false">SUM(O$5:O119)</f>
        <v>83</v>
      </c>
      <c r="Q119" s="30" t="n">
        <f aca="false">Q118+1</f>
        <v>46400</v>
      </c>
      <c r="R119" s="31" t="n">
        <f aca="false">INDEX($B$27:$H$27,WEEKDAY(Q119,2))</f>
        <v>1</v>
      </c>
      <c r="S119" s="31" t="n">
        <f aca="false">SUM(R$5:R119)</f>
        <v>83</v>
      </c>
    </row>
    <row r="120" customFormat="false" ht="15" hidden="false" customHeight="false" outlineLevel="0" collapsed="false">
      <c r="K120" s="30" t="n">
        <f aca="false">K119+1</f>
        <v>46401</v>
      </c>
      <c r="L120" s="31" t="n">
        <f aca="false">INDEX($B$7:$H$7,WEEKDAY(K120,2))</f>
        <v>1</v>
      </c>
      <c r="M120" s="31" t="n">
        <f aca="false">SUM(L$5:L120)</f>
        <v>84</v>
      </c>
      <c r="N120" s="30" t="n">
        <f aca="false">N119+1</f>
        <v>46401</v>
      </c>
      <c r="O120" s="31" t="n">
        <f aca="false">INDEX($B$17:$H$17,WEEKDAY(N120,2))</f>
        <v>1</v>
      </c>
      <c r="P120" s="31" t="n">
        <f aca="false">SUM(O$5:O120)</f>
        <v>84</v>
      </c>
      <c r="Q120" s="30" t="n">
        <f aca="false">Q119+1</f>
        <v>46401</v>
      </c>
      <c r="R120" s="31" t="n">
        <f aca="false">INDEX($B$27:$H$27,WEEKDAY(Q120,2))</f>
        <v>1</v>
      </c>
      <c r="S120" s="31" t="n">
        <f aca="false">SUM(R$5:R120)</f>
        <v>84</v>
      </c>
    </row>
    <row r="121" customFormat="false" ht="15" hidden="false" customHeight="false" outlineLevel="0" collapsed="false">
      <c r="K121" s="30" t="n">
        <f aca="false">K120+1</f>
        <v>46402</v>
      </c>
      <c r="L121" s="31" t="n">
        <f aca="false">INDEX($B$7:$H$7,WEEKDAY(K121,2))</f>
        <v>1</v>
      </c>
      <c r="M121" s="31" t="n">
        <f aca="false">SUM(L$5:L121)</f>
        <v>85</v>
      </c>
      <c r="N121" s="30" t="n">
        <f aca="false">N120+1</f>
        <v>46402</v>
      </c>
      <c r="O121" s="31" t="n">
        <f aca="false">INDEX($B$17:$H$17,WEEKDAY(N121,2))</f>
        <v>1</v>
      </c>
      <c r="P121" s="31" t="n">
        <f aca="false">SUM(O$5:O121)</f>
        <v>85</v>
      </c>
      <c r="Q121" s="30" t="n">
        <f aca="false">Q120+1</f>
        <v>46402</v>
      </c>
      <c r="R121" s="31" t="n">
        <f aca="false">INDEX($B$27:$H$27,WEEKDAY(Q121,2))</f>
        <v>1</v>
      </c>
      <c r="S121" s="31" t="n">
        <f aca="false">SUM(R$5:R121)</f>
        <v>85</v>
      </c>
    </row>
    <row r="122" customFormat="false" ht="15" hidden="false" customHeight="false" outlineLevel="0" collapsed="false">
      <c r="K122" s="30" t="n">
        <f aca="false">K121+1</f>
        <v>46403</v>
      </c>
      <c r="L122" s="31" t="n">
        <f aca="false">INDEX($B$7:$H$7,WEEKDAY(K122,2))</f>
        <v>0</v>
      </c>
      <c r="M122" s="31" t="n">
        <f aca="false">SUM(L$5:L122)</f>
        <v>85</v>
      </c>
      <c r="N122" s="30" t="n">
        <f aca="false">N121+1</f>
        <v>46403</v>
      </c>
      <c r="O122" s="31" t="n">
        <f aca="false">INDEX($B$17:$H$17,WEEKDAY(N122,2))</f>
        <v>0</v>
      </c>
      <c r="P122" s="31" t="n">
        <f aca="false">SUM(O$5:O122)</f>
        <v>85</v>
      </c>
      <c r="Q122" s="30" t="n">
        <f aca="false">Q121+1</f>
        <v>46403</v>
      </c>
      <c r="R122" s="31" t="n">
        <f aca="false">INDEX($B$27:$H$27,WEEKDAY(Q122,2))</f>
        <v>0</v>
      </c>
      <c r="S122" s="31" t="n">
        <f aca="false">SUM(R$5:R122)</f>
        <v>85</v>
      </c>
    </row>
    <row r="123" customFormat="false" ht="15" hidden="false" customHeight="false" outlineLevel="0" collapsed="false">
      <c r="K123" s="30" t="n">
        <f aca="false">K122+1</f>
        <v>46404</v>
      </c>
      <c r="L123" s="31" t="n">
        <f aca="false">INDEX($B$7:$H$7,WEEKDAY(K123,2))</f>
        <v>0</v>
      </c>
      <c r="M123" s="31" t="n">
        <f aca="false">SUM(L$5:L123)</f>
        <v>85</v>
      </c>
      <c r="N123" s="30" t="n">
        <f aca="false">N122+1</f>
        <v>46404</v>
      </c>
      <c r="O123" s="31" t="n">
        <f aca="false">INDEX($B$17:$H$17,WEEKDAY(N123,2))</f>
        <v>0</v>
      </c>
      <c r="P123" s="31" t="n">
        <f aca="false">SUM(O$5:O123)</f>
        <v>85</v>
      </c>
      <c r="Q123" s="30" t="n">
        <f aca="false">Q122+1</f>
        <v>46404</v>
      </c>
      <c r="R123" s="31" t="n">
        <f aca="false">INDEX($B$27:$H$27,WEEKDAY(Q123,2))</f>
        <v>0</v>
      </c>
      <c r="S123" s="31" t="n">
        <f aca="false">SUM(R$5:R123)</f>
        <v>85</v>
      </c>
    </row>
    <row r="124" customFormat="false" ht="15" hidden="false" customHeight="false" outlineLevel="0" collapsed="false">
      <c r="K124" s="30" t="n">
        <f aca="false">K123+1</f>
        <v>46405</v>
      </c>
      <c r="L124" s="31" t="n">
        <f aca="false">INDEX($B$7:$H$7,WEEKDAY(K124,2))</f>
        <v>1</v>
      </c>
      <c r="M124" s="31" t="n">
        <f aca="false">SUM(L$5:L124)</f>
        <v>86</v>
      </c>
      <c r="N124" s="30" t="n">
        <f aca="false">N123+1</f>
        <v>46405</v>
      </c>
      <c r="O124" s="31" t="n">
        <f aca="false">INDEX($B$17:$H$17,WEEKDAY(N124,2))</f>
        <v>1</v>
      </c>
      <c r="P124" s="31" t="n">
        <f aca="false">SUM(O$5:O124)</f>
        <v>86</v>
      </c>
      <c r="Q124" s="30" t="n">
        <f aca="false">Q123+1</f>
        <v>46405</v>
      </c>
      <c r="R124" s="31" t="n">
        <f aca="false">INDEX($B$27:$H$27,WEEKDAY(Q124,2))</f>
        <v>1</v>
      </c>
      <c r="S124" s="31" t="n">
        <f aca="false">SUM(R$5:R124)</f>
        <v>86</v>
      </c>
    </row>
    <row r="125" customFormat="false" ht="15" hidden="false" customHeight="false" outlineLevel="0" collapsed="false">
      <c r="K125" s="30" t="n">
        <f aca="false">K124+1</f>
        <v>46406</v>
      </c>
      <c r="L125" s="31" t="n">
        <f aca="false">INDEX($B$7:$H$7,WEEKDAY(K125,2))</f>
        <v>1</v>
      </c>
      <c r="M125" s="31" t="n">
        <f aca="false">SUM(L$5:L125)</f>
        <v>87</v>
      </c>
      <c r="N125" s="30" t="n">
        <f aca="false">N124+1</f>
        <v>46406</v>
      </c>
      <c r="O125" s="31" t="n">
        <f aca="false">INDEX($B$17:$H$17,WEEKDAY(N125,2))</f>
        <v>1</v>
      </c>
      <c r="P125" s="31" t="n">
        <f aca="false">SUM(O$5:O125)</f>
        <v>87</v>
      </c>
      <c r="Q125" s="30" t="n">
        <f aca="false">Q124+1</f>
        <v>46406</v>
      </c>
      <c r="R125" s="31" t="n">
        <f aca="false">INDEX($B$27:$H$27,WEEKDAY(Q125,2))</f>
        <v>1</v>
      </c>
      <c r="S125" s="31" t="n">
        <f aca="false">SUM(R$5:R125)</f>
        <v>87</v>
      </c>
    </row>
    <row r="126" customFormat="false" ht="15" hidden="false" customHeight="false" outlineLevel="0" collapsed="false">
      <c r="K126" s="30" t="n">
        <f aca="false">K125+1</f>
        <v>46407</v>
      </c>
      <c r="L126" s="31" t="n">
        <f aca="false">INDEX($B$7:$H$7,WEEKDAY(K126,2))</f>
        <v>1</v>
      </c>
      <c r="M126" s="31" t="n">
        <f aca="false">SUM(L$5:L126)</f>
        <v>88</v>
      </c>
      <c r="N126" s="30" t="n">
        <f aca="false">N125+1</f>
        <v>46407</v>
      </c>
      <c r="O126" s="31" t="n">
        <f aca="false">INDEX($B$17:$H$17,WEEKDAY(N126,2))</f>
        <v>1</v>
      </c>
      <c r="P126" s="31" t="n">
        <f aca="false">SUM(O$5:O126)</f>
        <v>88</v>
      </c>
      <c r="Q126" s="30" t="n">
        <f aca="false">Q125+1</f>
        <v>46407</v>
      </c>
      <c r="R126" s="31" t="n">
        <f aca="false">INDEX($B$27:$H$27,WEEKDAY(Q126,2))</f>
        <v>1</v>
      </c>
      <c r="S126" s="31" t="n">
        <f aca="false">SUM(R$5:R126)</f>
        <v>88</v>
      </c>
    </row>
    <row r="127" customFormat="false" ht="15" hidden="false" customHeight="false" outlineLevel="0" collapsed="false">
      <c r="K127" s="30" t="n">
        <f aca="false">K126+1</f>
        <v>46408</v>
      </c>
      <c r="L127" s="31" t="n">
        <f aca="false">INDEX($B$7:$H$7,WEEKDAY(K127,2))</f>
        <v>1</v>
      </c>
      <c r="M127" s="31" t="n">
        <f aca="false">SUM(L$5:L127)</f>
        <v>89</v>
      </c>
      <c r="N127" s="30" t="n">
        <f aca="false">N126+1</f>
        <v>46408</v>
      </c>
      <c r="O127" s="31" t="n">
        <f aca="false">INDEX($B$17:$H$17,WEEKDAY(N127,2))</f>
        <v>1</v>
      </c>
      <c r="P127" s="31" t="n">
        <f aca="false">SUM(O$5:O127)</f>
        <v>89</v>
      </c>
      <c r="Q127" s="30" t="n">
        <f aca="false">Q126+1</f>
        <v>46408</v>
      </c>
      <c r="R127" s="31" t="n">
        <f aca="false">INDEX($B$27:$H$27,WEEKDAY(Q127,2))</f>
        <v>1</v>
      </c>
      <c r="S127" s="31" t="n">
        <f aca="false">SUM(R$5:R127)</f>
        <v>89</v>
      </c>
    </row>
    <row r="128" customFormat="false" ht="15" hidden="false" customHeight="false" outlineLevel="0" collapsed="false">
      <c r="K128" s="30" t="n">
        <f aca="false">K127+1</f>
        <v>46409</v>
      </c>
      <c r="L128" s="31" t="n">
        <f aca="false">INDEX($B$7:$H$7,WEEKDAY(K128,2))</f>
        <v>1</v>
      </c>
      <c r="M128" s="31" t="n">
        <f aca="false">SUM(L$5:L128)</f>
        <v>90</v>
      </c>
      <c r="N128" s="30" t="n">
        <f aca="false">N127+1</f>
        <v>46409</v>
      </c>
      <c r="O128" s="31" t="n">
        <f aca="false">INDEX($B$17:$H$17,WEEKDAY(N128,2))</f>
        <v>1</v>
      </c>
      <c r="P128" s="31" t="n">
        <f aca="false">SUM(O$5:O128)</f>
        <v>90</v>
      </c>
      <c r="Q128" s="30" t="n">
        <f aca="false">Q127+1</f>
        <v>46409</v>
      </c>
      <c r="R128" s="31" t="n">
        <f aca="false">INDEX($B$27:$H$27,WEEKDAY(Q128,2))</f>
        <v>1</v>
      </c>
      <c r="S128" s="31" t="n">
        <f aca="false">SUM(R$5:R128)</f>
        <v>90</v>
      </c>
    </row>
    <row r="129" customFormat="false" ht="15" hidden="false" customHeight="false" outlineLevel="0" collapsed="false">
      <c r="K129" s="30" t="n">
        <f aca="false">K128+1</f>
        <v>46410</v>
      </c>
      <c r="L129" s="31" t="n">
        <f aca="false">INDEX($B$7:$H$7,WEEKDAY(K129,2))</f>
        <v>0</v>
      </c>
      <c r="M129" s="31" t="n">
        <f aca="false">SUM(L$5:L129)</f>
        <v>90</v>
      </c>
      <c r="N129" s="30" t="n">
        <f aca="false">N128+1</f>
        <v>46410</v>
      </c>
      <c r="O129" s="31" t="n">
        <f aca="false">INDEX($B$17:$H$17,WEEKDAY(N129,2))</f>
        <v>0</v>
      </c>
      <c r="P129" s="31" t="n">
        <f aca="false">SUM(O$5:O129)</f>
        <v>90</v>
      </c>
      <c r="Q129" s="30" t="n">
        <f aca="false">Q128+1</f>
        <v>46410</v>
      </c>
      <c r="R129" s="31" t="n">
        <f aca="false">INDEX($B$27:$H$27,WEEKDAY(Q129,2))</f>
        <v>0</v>
      </c>
      <c r="S129" s="31" t="n">
        <f aca="false">SUM(R$5:R129)</f>
        <v>90</v>
      </c>
    </row>
    <row r="130" customFormat="false" ht="15" hidden="false" customHeight="false" outlineLevel="0" collapsed="false">
      <c r="K130" s="30" t="n">
        <f aca="false">K129+1</f>
        <v>46411</v>
      </c>
      <c r="L130" s="31" t="n">
        <f aca="false">INDEX($B$7:$H$7,WEEKDAY(K130,2))</f>
        <v>0</v>
      </c>
      <c r="M130" s="31" t="n">
        <f aca="false">SUM(L$5:L130)</f>
        <v>90</v>
      </c>
      <c r="N130" s="30" t="n">
        <f aca="false">N129+1</f>
        <v>46411</v>
      </c>
      <c r="O130" s="31" t="n">
        <f aca="false">INDEX($B$17:$H$17,WEEKDAY(N130,2))</f>
        <v>0</v>
      </c>
      <c r="P130" s="31" t="n">
        <f aca="false">SUM(O$5:O130)</f>
        <v>90</v>
      </c>
      <c r="Q130" s="30" t="n">
        <f aca="false">Q129+1</f>
        <v>46411</v>
      </c>
      <c r="R130" s="31" t="n">
        <f aca="false">INDEX($B$27:$H$27,WEEKDAY(Q130,2))</f>
        <v>0</v>
      </c>
      <c r="S130" s="31" t="n">
        <f aca="false">SUM(R$5:R130)</f>
        <v>90</v>
      </c>
    </row>
    <row r="131" customFormat="false" ht="15" hidden="false" customHeight="false" outlineLevel="0" collapsed="false">
      <c r="K131" s="30" t="n">
        <f aca="false">K130+1</f>
        <v>46412</v>
      </c>
      <c r="L131" s="31" t="n">
        <f aca="false">INDEX($B$7:$H$7,WEEKDAY(K131,2))</f>
        <v>1</v>
      </c>
      <c r="M131" s="31" t="n">
        <f aca="false">SUM(L$5:L131)</f>
        <v>91</v>
      </c>
      <c r="N131" s="30" t="n">
        <f aca="false">N130+1</f>
        <v>46412</v>
      </c>
      <c r="O131" s="31" t="n">
        <f aca="false">INDEX($B$17:$H$17,WEEKDAY(N131,2))</f>
        <v>1</v>
      </c>
      <c r="P131" s="31" t="n">
        <f aca="false">SUM(O$5:O131)</f>
        <v>91</v>
      </c>
      <c r="Q131" s="30" t="n">
        <f aca="false">Q130+1</f>
        <v>46412</v>
      </c>
      <c r="R131" s="31" t="n">
        <f aca="false">INDEX($B$27:$H$27,WEEKDAY(Q131,2))</f>
        <v>1</v>
      </c>
      <c r="S131" s="31" t="n">
        <f aca="false">SUM(R$5:R131)</f>
        <v>91</v>
      </c>
    </row>
    <row r="132" customFormat="false" ht="15" hidden="false" customHeight="false" outlineLevel="0" collapsed="false">
      <c r="K132" s="30" t="n">
        <f aca="false">K131+1</f>
        <v>46413</v>
      </c>
      <c r="L132" s="31" t="n">
        <f aca="false">INDEX($B$7:$H$7,WEEKDAY(K132,2))</f>
        <v>1</v>
      </c>
      <c r="M132" s="31" t="n">
        <f aca="false">SUM(L$5:L132)</f>
        <v>92</v>
      </c>
      <c r="N132" s="30" t="n">
        <f aca="false">N131+1</f>
        <v>46413</v>
      </c>
      <c r="O132" s="31" t="n">
        <f aca="false">INDEX($B$17:$H$17,WEEKDAY(N132,2))</f>
        <v>1</v>
      </c>
      <c r="P132" s="31" t="n">
        <f aca="false">SUM(O$5:O132)</f>
        <v>92</v>
      </c>
      <c r="Q132" s="30" t="n">
        <f aca="false">Q131+1</f>
        <v>46413</v>
      </c>
      <c r="R132" s="31" t="n">
        <f aca="false">INDEX($B$27:$H$27,WEEKDAY(Q132,2))</f>
        <v>1</v>
      </c>
      <c r="S132" s="31" t="n">
        <f aca="false">SUM(R$5:R132)</f>
        <v>92</v>
      </c>
    </row>
    <row r="133" customFormat="false" ht="15" hidden="false" customHeight="false" outlineLevel="0" collapsed="false">
      <c r="K133" s="30" t="n">
        <f aca="false">K132+1</f>
        <v>46414</v>
      </c>
      <c r="L133" s="31" t="n">
        <f aca="false">INDEX($B$7:$H$7,WEEKDAY(K133,2))</f>
        <v>1</v>
      </c>
      <c r="M133" s="31" t="n">
        <f aca="false">SUM(L$5:L133)</f>
        <v>93</v>
      </c>
      <c r="N133" s="30" t="n">
        <f aca="false">N132+1</f>
        <v>46414</v>
      </c>
      <c r="O133" s="31" t="n">
        <f aca="false">INDEX($B$17:$H$17,WEEKDAY(N133,2))</f>
        <v>1</v>
      </c>
      <c r="P133" s="31" t="n">
        <f aca="false">SUM(O$5:O133)</f>
        <v>93</v>
      </c>
      <c r="Q133" s="30" t="n">
        <f aca="false">Q132+1</f>
        <v>46414</v>
      </c>
      <c r="R133" s="31" t="n">
        <f aca="false">INDEX($B$27:$H$27,WEEKDAY(Q133,2))</f>
        <v>1</v>
      </c>
      <c r="S133" s="31" t="n">
        <f aca="false">SUM(R$5:R133)</f>
        <v>93</v>
      </c>
    </row>
    <row r="134" customFormat="false" ht="15" hidden="false" customHeight="false" outlineLevel="0" collapsed="false">
      <c r="K134" s="30" t="n">
        <f aca="false">K133+1</f>
        <v>46415</v>
      </c>
      <c r="L134" s="31" t="n">
        <f aca="false">INDEX($B$7:$H$7,WEEKDAY(K134,2))</f>
        <v>1</v>
      </c>
      <c r="M134" s="31" t="n">
        <f aca="false">SUM(L$5:L134)</f>
        <v>94</v>
      </c>
      <c r="N134" s="30" t="n">
        <f aca="false">N133+1</f>
        <v>46415</v>
      </c>
      <c r="O134" s="31" t="n">
        <f aca="false">INDEX($B$17:$H$17,WEEKDAY(N134,2))</f>
        <v>1</v>
      </c>
      <c r="P134" s="31" t="n">
        <f aca="false">SUM(O$5:O134)</f>
        <v>94</v>
      </c>
      <c r="Q134" s="30" t="n">
        <f aca="false">Q133+1</f>
        <v>46415</v>
      </c>
      <c r="R134" s="31" t="n">
        <f aca="false">INDEX($B$27:$H$27,WEEKDAY(Q134,2))</f>
        <v>1</v>
      </c>
      <c r="S134" s="31" t="n">
        <f aca="false">SUM(R$5:R134)</f>
        <v>94</v>
      </c>
    </row>
    <row r="135" customFormat="false" ht="15" hidden="false" customHeight="false" outlineLevel="0" collapsed="false">
      <c r="K135" s="30" t="n">
        <f aca="false">K134+1</f>
        <v>46416</v>
      </c>
      <c r="L135" s="31" t="n">
        <f aca="false">INDEX($B$7:$H$7,WEEKDAY(K135,2))</f>
        <v>1</v>
      </c>
      <c r="M135" s="31" t="n">
        <f aca="false">SUM(L$5:L135)</f>
        <v>95</v>
      </c>
      <c r="N135" s="30" t="n">
        <f aca="false">N134+1</f>
        <v>46416</v>
      </c>
      <c r="O135" s="31" t="n">
        <f aca="false">INDEX($B$17:$H$17,WEEKDAY(N135,2))</f>
        <v>1</v>
      </c>
      <c r="P135" s="31" t="n">
        <f aca="false">SUM(O$5:O135)</f>
        <v>95</v>
      </c>
      <c r="Q135" s="30" t="n">
        <f aca="false">Q134+1</f>
        <v>46416</v>
      </c>
      <c r="R135" s="31" t="n">
        <f aca="false">INDEX($B$27:$H$27,WEEKDAY(Q135,2))</f>
        <v>1</v>
      </c>
      <c r="S135" s="31" t="n">
        <f aca="false">SUM(R$5:R135)</f>
        <v>95</v>
      </c>
    </row>
    <row r="136" customFormat="false" ht="15" hidden="false" customHeight="false" outlineLevel="0" collapsed="false">
      <c r="K136" s="30" t="n">
        <f aca="false">K135+1</f>
        <v>46417</v>
      </c>
      <c r="L136" s="31" t="n">
        <f aca="false">INDEX($B$7:$H$7,WEEKDAY(K136,2))</f>
        <v>0</v>
      </c>
      <c r="M136" s="31" t="n">
        <f aca="false">SUM(L$5:L136)</f>
        <v>95</v>
      </c>
      <c r="N136" s="30" t="n">
        <f aca="false">N135+1</f>
        <v>46417</v>
      </c>
      <c r="O136" s="31" t="n">
        <f aca="false">INDEX($B$17:$H$17,WEEKDAY(N136,2))</f>
        <v>0</v>
      </c>
      <c r="P136" s="31" t="n">
        <f aca="false">SUM(O$5:O136)</f>
        <v>95</v>
      </c>
      <c r="Q136" s="30" t="n">
        <f aca="false">Q135+1</f>
        <v>46417</v>
      </c>
      <c r="R136" s="31" t="n">
        <f aca="false">INDEX($B$27:$H$27,WEEKDAY(Q136,2))</f>
        <v>0</v>
      </c>
      <c r="S136" s="31" t="n">
        <f aca="false">SUM(R$5:R136)</f>
        <v>95</v>
      </c>
    </row>
    <row r="137" customFormat="false" ht="15" hidden="false" customHeight="false" outlineLevel="0" collapsed="false">
      <c r="K137" s="30" t="n">
        <f aca="false">K136+1</f>
        <v>46418</v>
      </c>
      <c r="L137" s="31" t="n">
        <f aca="false">INDEX($B$7:$H$7,WEEKDAY(K137,2))</f>
        <v>0</v>
      </c>
      <c r="M137" s="31" t="n">
        <f aca="false">SUM(L$5:L137)</f>
        <v>95</v>
      </c>
      <c r="N137" s="30" t="n">
        <f aca="false">N136+1</f>
        <v>46418</v>
      </c>
      <c r="O137" s="31" t="n">
        <f aca="false">INDEX($B$17:$H$17,WEEKDAY(N137,2))</f>
        <v>0</v>
      </c>
      <c r="P137" s="31" t="n">
        <f aca="false">SUM(O$5:O137)</f>
        <v>95</v>
      </c>
      <c r="Q137" s="30" t="n">
        <f aca="false">Q136+1</f>
        <v>46418</v>
      </c>
      <c r="R137" s="31" t="n">
        <f aca="false">INDEX($B$27:$H$27,WEEKDAY(Q137,2))</f>
        <v>0</v>
      </c>
      <c r="S137" s="31" t="n">
        <f aca="false">SUM(R$5:R137)</f>
        <v>95</v>
      </c>
    </row>
    <row r="138" customFormat="false" ht="15" hidden="false" customHeight="false" outlineLevel="0" collapsed="false">
      <c r="K138" s="30" t="n">
        <f aca="false">K137+1</f>
        <v>46419</v>
      </c>
      <c r="L138" s="31" t="n">
        <f aca="false">INDEX($B$7:$H$7,WEEKDAY(K138,2))</f>
        <v>1</v>
      </c>
      <c r="M138" s="31" t="n">
        <f aca="false">SUM(L$5:L138)</f>
        <v>96</v>
      </c>
      <c r="N138" s="30" t="n">
        <f aca="false">N137+1</f>
        <v>46419</v>
      </c>
      <c r="O138" s="31" t="n">
        <f aca="false">INDEX($B$17:$H$17,WEEKDAY(N138,2))</f>
        <v>1</v>
      </c>
      <c r="P138" s="31" t="n">
        <f aca="false">SUM(O$5:O138)</f>
        <v>96</v>
      </c>
      <c r="Q138" s="30" t="n">
        <f aca="false">Q137+1</f>
        <v>46419</v>
      </c>
      <c r="R138" s="31" t="n">
        <f aca="false">INDEX($B$27:$H$27,WEEKDAY(Q138,2))</f>
        <v>1</v>
      </c>
      <c r="S138" s="31" t="n">
        <f aca="false">SUM(R$5:R138)</f>
        <v>96</v>
      </c>
    </row>
    <row r="139" customFormat="false" ht="15" hidden="false" customHeight="false" outlineLevel="0" collapsed="false">
      <c r="K139" s="30" t="n">
        <f aca="false">K138+1</f>
        <v>46420</v>
      </c>
      <c r="L139" s="31" t="n">
        <f aca="false">INDEX($B$7:$H$7,WEEKDAY(K139,2))</f>
        <v>1</v>
      </c>
      <c r="M139" s="31" t="n">
        <f aca="false">SUM(L$5:L139)</f>
        <v>97</v>
      </c>
      <c r="N139" s="30" t="n">
        <f aca="false">N138+1</f>
        <v>46420</v>
      </c>
      <c r="O139" s="31" t="n">
        <f aca="false">INDEX($B$17:$H$17,WEEKDAY(N139,2))</f>
        <v>1</v>
      </c>
      <c r="P139" s="31" t="n">
        <f aca="false">SUM(O$5:O139)</f>
        <v>97</v>
      </c>
      <c r="Q139" s="30" t="n">
        <f aca="false">Q138+1</f>
        <v>46420</v>
      </c>
      <c r="R139" s="31" t="n">
        <f aca="false">INDEX($B$27:$H$27,WEEKDAY(Q139,2))</f>
        <v>1</v>
      </c>
      <c r="S139" s="31" t="n">
        <f aca="false">SUM(R$5:R139)</f>
        <v>97</v>
      </c>
    </row>
    <row r="140" customFormat="false" ht="15" hidden="false" customHeight="false" outlineLevel="0" collapsed="false">
      <c r="K140" s="30" t="n">
        <f aca="false">K139+1</f>
        <v>46421</v>
      </c>
      <c r="L140" s="31" t="n">
        <f aca="false">INDEX($B$7:$H$7,WEEKDAY(K140,2))</f>
        <v>1</v>
      </c>
      <c r="M140" s="31" t="n">
        <f aca="false">SUM(L$5:L140)</f>
        <v>98</v>
      </c>
      <c r="N140" s="30" t="n">
        <f aca="false">N139+1</f>
        <v>46421</v>
      </c>
      <c r="O140" s="31" t="n">
        <f aca="false">INDEX($B$17:$H$17,WEEKDAY(N140,2))</f>
        <v>1</v>
      </c>
      <c r="P140" s="31" t="n">
        <f aca="false">SUM(O$5:O140)</f>
        <v>98</v>
      </c>
      <c r="Q140" s="30" t="n">
        <f aca="false">Q139+1</f>
        <v>46421</v>
      </c>
      <c r="R140" s="31" t="n">
        <f aca="false">INDEX($B$27:$H$27,WEEKDAY(Q140,2))</f>
        <v>1</v>
      </c>
      <c r="S140" s="31" t="n">
        <f aca="false">SUM(R$5:R140)</f>
        <v>98</v>
      </c>
    </row>
    <row r="141" customFormat="false" ht="15" hidden="false" customHeight="false" outlineLevel="0" collapsed="false">
      <c r="K141" s="30" t="n">
        <f aca="false">K140+1</f>
        <v>46422</v>
      </c>
      <c r="L141" s="31" t="n">
        <f aca="false">INDEX($B$7:$H$7,WEEKDAY(K141,2))</f>
        <v>1</v>
      </c>
      <c r="M141" s="31" t="n">
        <f aca="false">SUM(L$5:L141)</f>
        <v>99</v>
      </c>
      <c r="N141" s="30" t="n">
        <f aca="false">N140+1</f>
        <v>46422</v>
      </c>
      <c r="O141" s="31" t="n">
        <f aca="false">INDEX($B$17:$H$17,WEEKDAY(N141,2))</f>
        <v>1</v>
      </c>
      <c r="P141" s="31" t="n">
        <f aca="false">SUM(O$5:O141)</f>
        <v>99</v>
      </c>
      <c r="Q141" s="30" t="n">
        <f aca="false">Q140+1</f>
        <v>46422</v>
      </c>
      <c r="R141" s="31" t="n">
        <f aca="false">INDEX($B$27:$H$27,WEEKDAY(Q141,2))</f>
        <v>1</v>
      </c>
      <c r="S141" s="31" t="n">
        <f aca="false">SUM(R$5:R141)</f>
        <v>99</v>
      </c>
    </row>
    <row r="142" customFormat="false" ht="15" hidden="false" customHeight="false" outlineLevel="0" collapsed="false">
      <c r="K142" s="30" t="n">
        <f aca="false">K141+1</f>
        <v>46423</v>
      </c>
      <c r="L142" s="31" t="n">
        <f aca="false">INDEX($B$7:$H$7,WEEKDAY(K142,2))</f>
        <v>1</v>
      </c>
      <c r="M142" s="31" t="n">
        <f aca="false">SUM(L$5:L142)</f>
        <v>100</v>
      </c>
      <c r="N142" s="30" t="n">
        <f aca="false">N141+1</f>
        <v>46423</v>
      </c>
      <c r="O142" s="31" t="n">
        <f aca="false">INDEX($B$17:$H$17,WEEKDAY(N142,2))</f>
        <v>1</v>
      </c>
      <c r="P142" s="31" t="n">
        <f aca="false">SUM(O$5:O142)</f>
        <v>100</v>
      </c>
      <c r="Q142" s="30" t="n">
        <f aca="false">Q141+1</f>
        <v>46423</v>
      </c>
      <c r="R142" s="31" t="n">
        <f aca="false">INDEX($B$27:$H$27,WEEKDAY(Q142,2))</f>
        <v>1</v>
      </c>
      <c r="S142" s="31" t="n">
        <f aca="false">SUM(R$5:R142)</f>
        <v>100</v>
      </c>
    </row>
    <row r="143" customFormat="false" ht="15" hidden="false" customHeight="false" outlineLevel="0" collapsed="false">
      <c r="K143" s="30" t="n">
        <f aca="false">K142+1</f>
        <v>46424</v>
      </c>
      <c r="L143" s="31" t="n">
        <f aca="false">INDEX($B$7:$H$7,WEEKDAY(K143,2))</f>
        <v>0</v>
      </c>
      <c r="M143" s="31" t="n">
        <f aca="false">SUM(L$5:L143)</f>
        <v>100</v>
      </c>
      <c r="N143" s="30" t="n">
        <f aca="false">N142+1</f>
        <v>46424</v>
      </c>
      <c r="O143" s="31" t="n">
        <f aca="false">INDEX($B$17:$H$17,WEEKDAY(N143,2))</f>
        <v>0</v>
      </c>
      <c r="P143" s="31" t="n">
        <f aca="false">SUM(O$5:O143)</f>
        <v>100</v>
      </c>
      <c r="Q143" s="30" t="n">
        <f aca="false">Q142+1</f>
        <v>46424</v>
      </c>
      <c r="R143" s="31" t="n">
        <f aca="false">INDEX($B$27:$H$27,WEEKDAY(Q143,2))</f>
        <v>0</v>
      </c>
      <c r="S143" s="31" t="n">
        <f aca="false">SUM(R$5:R143)</f>
        <v>100</v>
      </c>
    </row>
    <row r="144" customFormat="false" ht="15" hidden="false" customHeight="false" outlineLevel="0" collapsed="false">
      <c r="K144" s="30" t="n">
        <f aca="false">K143+1</f>
        <v>46425</v>
      </c>
      <c r="L144" s="31" t="n">
        <f aca="false">INDEX($B$7:$H$7,WEEKDAY(K144,2))</f>
        <v>0</v>
      </c>
      <c r="M144" s="31" t="n">
        <f aca="false">SUM(L$5:L144)</f>
        <v>100</v>
      </c>
      <c r="N144" s="30" t="n">
        <f aca="false">N143+1</f>
        <v>46425</v>
      </c>
      <c r="O144" s="31" t="n">
        <f aca="false">INDEX($B$17:$H$17,WEEKDAY(N144,2))</f>
        <v>0</v>
      </c>
      <c r="P144" s="31" t="n">
        <f aca="false">SUM(O$5:O144)</f>
        <v>100</v>
      </c>
      <c r="Q144" s="30" t="n">
        <f aca="false">Q143+1</f>
        <v>46425</v>
      </c>
      <c r="R144" s="31" t="n">
        <f aca="false">INDEX($B$27:$H$27,WEEKDAY(Q144,2))</f>
        <v>0</v>
      </c>
      <c r="S144" s="31" t="n">
        <f aca="false">SUM(R$5:R144)</f>
        <v>100</v>
      </c>
    </row>
    <row r="145" customFormat="false" ht="15" hidden="false" customHeight="false" outlineLevel="0" collapsed="false">
      <c r="K145" s="30" t="n">
        <f aca="false">K144+1</f>
        <v>46426</v>
      </c>
      <c r="L145" s="31" t="n">
        <f aca="false">INDEX($B$7:$H$7,WEEKDAY(K145,2))</f>
        <v>1</v>
      </c>
      <c r="M145" s="31" t="n">
        <f aca="false">SUM(L$5:L145)</f>
        <v>101</v>
      </c>
      <c r="N145" s="30" t="n">
        <f aca="false">N144+1</f>
        <v>46426</v>
      </c>
      <c r="O145" s="31" t="n">
        <f aca="false">INDEX($B$17:$H$17,WEEKDAY(N145,2))</f>
        <v>1</v>
      </c>
      <c r="P145" s="31" t="n">
        <f aca="false">SUM(O$5:O145)</f>
        <v>101</v>
      </c>
      <c r="Q145" s="30" t="n">
        <f aca="false">Q144+1</f>
        <v>46426</v>
      </c>
      <c r="R145" s="31" t="n">
        <f aca="false">INDEX($B$27:$H$27,WEEKDAY(Q145,2))</f>
        <v>1</v>
      </c>
      <c r="S145" s="31" t="n">
        <f aca="false">SUM(R$5:R145)</f>
        <v>101</v>
      </c>
    </row>
    <row r="146" customFormat="false" ht="15" hidden="false" customHeight="false" outlineLevel="0" collapsed="false">
      <c r="K146" s="30" t="n">
        <f aca="false">K145+1</f>
        <v>46427</v>
      </c>
      <c r="L146" s="31" t="n">
        <f aca="false">INDEX($B$7:$H$7,WEEKDAY(K146,2))</f>
        <v>1</v>
      </c>
      <c r="M146" s="31" t="n">
        <f aca="false">SUM(L$5:L146)</f>
        <v>102</v>
      </c>
      <c r="N146" s="30" t="n">
        <f aca="false">N145+1</f>
        <v>46427</v>
      </c>
      <c r="O146" s="31" t="n">
        <f aca="false">INDEX($B$17:$H$17,WEEKDAY(N146,2))</f>
        <v>1</v>
      </c>
      <c r="P146" s="31" t="n">
        <f aca="false">SUM(O$5:O146)</f>
        <v>102</v>
      </c>
      <c r="Q146" s="30" t="n">
        <f aca="false">Q145+1</f>
        <v>46427</v>
      </c>
      <c r="R146" s="31" t="n">
        <f aca="false">INDEX($B$27:$H$27,WEEKDAY(Q146,2))</f>
        <v>1</v>
      </c>
      <c r="S146" s="31" t="n">
        <f aca="false">SUM(R$5:R146)</f>
        <v>102</v>
      </c>
    </row>
    <row r="147" customFormat="false" ht="15" hidden="false" customHeight="false" outlineLevel="0" collapsed="false">
      <c r="K147" s="30" t="n">
        <f aca="false">K146+1</f>
        <v>46428</v>
      </c>
      <c r="L147" s="31" t="n">
        <f aca="false">INDEX($B$7:$H$7,WEEKDAY(K147,2))</f>
        <v>1</v>
      </c>
      <c r="M147" s="31" t="n">
        <f aca="false">SUM(L$5:L147)</f>
        <v>103</v>
      </c>
      <c r="N147" s="30" t="n">
        <f aca="false">N146+1</f>
        <v>46428</v>
      </c>
      <c r="O147" s="31" t="n">
        <f aca="false">INDEX($B$17:$H$17,WEEKDAY(N147,2))</f>
        <v>1</v>
      </c>
      <c r="P147" s="31" t="n">
        <f aca="false">SUM(O$5:O147)</f>
        <v>103</v>
      </c>
      <c r="Q147" s="30" t="n">
        <f aca="false">Q146+1</f>
        <v>46428</v>
      </c>
      <c r="R147" s="31" t="n">
        <f aca="false">INDEX($B$27:$H$27,WEEKDAY(Q147,2))</f>
        <v>1</v>
      </c>
      <c r="S147" s="31" t="n">
        <f aca="false">SUM(R$5:R147)</f>
        <v>103</v>
      </c>
    </row>
    <row r="148" customFormat="false" ht="15" hidden="false" customHeight="false" outlineLevel="0" collapsed="false">
      <c r="K148" s="30" t="n">
        <f aca="false">K147+1</f>
        <v>46429</v>
      </c>
      <c r="L148" s="31" t="n">
        <f aca="false">INDEX($B$7:$H$7,WEEKDAY(K148,2))</f>
        <v>1</v>
      </c>
      <c r="M148" s="31" t="n">
        <f aca="false">SUM(L$5:L148)</f>
        <v>104</v>
      </c>
      <c r="N148" s="30" t="n">
        <f aca="false">N147+1</f>
        <v>46429</v>
      </c>
      <c r="O148" s="31" t="n">
        <f aca="false">INDEX($B$17:$H$17,WEEKDAY(N148,2))</f>
        <v>1</v>
      </c>
      <c r="P148" s="31" t="n">
        <f aca="false">SUM(O$5:O148)</f>
        <v>104</v>
      </c>
      <c r="Q148" s="30" t="n">
        <f aca="false">Q147+1</f>
        <v>46429</v>
      </c>
      <c r="R148" s="31" t="n">
        <f aca="false">INDEX($B$27:$H$27,WEEKDAY(Q148,2))</f>
        <v>1</v>
      </c>
      <c r="S148" s="31" t="n">
        <f aca="false">SUM(R$5:R148)</f>
        <v>104</v>
      </c>
    </row>
    <row r="149" customFormat="false" ht="15" hidden="false" customHeight="false" outlineLevel="0" collapsed="false">
      <c r="K149" s="30" t="n">
        <f aca="false">K148+1</f>
        <v>46430</v>
      </c>
      <c r="L149" s="31" t="n">
        <f aca="false">INDEX($B$7:$H$7,WEEKDAY(K149,2))</f>
        <v>1</v>
      </c>
      <c r="M149" s="31" t="n">
        <f aca="false">SUM(L$5:L149)</f>
        <v>105</v>
      </c>
      <c r="N149" s="30" t="n">
        <f aca="false">N148+1</f>
        <v>46430</v>
      </c>
      <c r="O149" s="31" t="n">
        <f aca="false">INDEX($B$17:$H$17,WEEKDAY(N149,2))</f>
        <v>1</v>
      </c>
      <c r="P149" s="31" t="n">
        <f aca="false">SUM(O$5:O149)</f>
        <v>105</v>
      </c>
      <c r="Q149" s="30" t="n">
        <f aca="false">Q148+1</f>
        <v>46430</v>
      </c>
      <c r="R149" s="31" t="n">
        <f aca="false">INDEX($B$27:$H$27,WEEKDAY(Q149,2))</f>
        <v>1</v>
      </c>
      <c r="S149" s="31" t="n">
        <f aca="false">SUM(R$5:R149)</f>
        <v>105</v>
      </c>
    </row>
    <row r="150" customFormat="false" ht="15" hidden="false" customHeight="false" outlineLevel="0" collapsed="false">
      <c r="K150" s="30" t="n">
        <f aca="false">K149+1</f>
        <v>46431</v>
      </c>
      <c r="L150" s="31" t="n">
        <f aca="false">INDEX($B$7:$H$7,WEEKDAY(K150,2))</f>
        <v>0</v>
      </c>
      <c r="M150" s="31" t="n">
        <f aca="false">SUM(L$5:L150)</f>
        <v>105</v>
      </c>
      <c r="N150" s="30" t="n">
        <f aca="false">N149+1</f>
        <v>46431</v>
      </c>
      <c r="O150" s="31" t="n">
        <f aca="false">INDEX($B$17:$H$17,WEEKDAY(N150,2))</f>
        <v>0</v>
      </c>
      <c r="P150" s="31" t="n">
        <f aca="false">SUM(O$5:O150)</f>
        <v>105</v>
      </c>
      <c r="Q150" s="30" t="n">
        <f aca="false">Q149+1</f>
        <v>46431</v>
      </c>
      <c r="R150" s="31" t="n">
        <f aca="false">INDEX($B$27:$H$27,WEEKDAY(Q150,2))</f>
        <v>0</v>
      </c>
      <c r="S150" s="31" t="n">
        <f aca="false">SUM(R$5:R150)</f>
        <v>105</v>
      </c>
    </row>
    <row r="151" customFormat="false" ht="15" hidden="false" customHeight="false" outlineLevel="0" collapsed="false">
      <c r="K151" s="30" t="n">
        <f aca="false">K150+1</f>
        <v>46432</v>
      </c>
      <c r="L151" s="31" t="n">
        <f aca="false">INDEX($B$7:$H$7,WEEKDAY(K151,2))</f>
        <v>0</v>
      </c>
      <c r="M151" s="31" t="n">
        <f aca="false">SUM(L$5:L151)</f>
        <v>105</v>
      </c>
      <c r="N151" s="30" t="n">
        <f aca="false">N150+1</f>
        <v>46432</v>
      </c>
      <c r="O151" s="31" t="n">
        <f aca="false">INDEX($B$17:$H$17,WEEKDAY(N151,2))</f>
        <v>0</v>
      </c>
      <c r="P151" s="31" t="n">
        <f aca="false">SUM(O$5:O151)</f>
        <v>105</v>
      </c>
      <c r="Q151" s="30" t="n">
        <f aca="false">Q150+1</f>
        <v>46432</v>
      </c>
      <c r="R151" s="31" t="n">
        <f aca="false">INDEX($B$27:$H$27,WEEKDAY(Q151,2))</f>
        <v>0</v>
      </c>
      <c r="S151" s="31" t="n">
        <f aca="false">SUM(R$5:R151)</f>
        <v>105</v>
      </c>
    </row>
    <row r="152" customFormat="false" ht="15" hidden="false" customHeight="false" outlineLevel="0" collapsed="false">
      <c r="K152" s="30" t="n">
        <f aca="false">K151+1</f>
        <v>46433</v>
      </c>
      <c r="L152" s="31" t="n">
        <f aca="false">INDEX($B$7:$H$7,WEEKDAY(K152,2))</f>
        <v>1</v>
      </c>
      <c r="M152" s="31" t="n">
        <f aca="false">SUM(L$5:L152)</f>
        <v>106</v>
      </c>
      <c r="N152" s="30" t="n">
        <f aca="false">N151+1</f>
        <v>46433</v>
      </c>
      <c r="O152" s="31" t="n">
        <f aca="false">INDEX($B$17:$H$17,WEEKDAY(N152,2))</f>
        <v>1</v>
      </c>
      <c r="P152" s="31" t="n">
        <f aca="false">SUM(O$5:O152)</f>
        <v>106</v>
      </c>
      <c r="Q152" s="30" t="n">
        <f aca="false">Q151+1</f>
        <v>46433</v>
      </c>
      <c r="R152" s="31" t="n">
        <f aca="false">INDEX($B$27:$H$27,WEEKDAY(Q152,2))</f>
        <v>1</v>
      </c>
      <c r="S152" s="31" t="n">
        <f aca="false">SUM(R$5:R152)</f>
        <v>106</v>
      </c>
    </row>
    <row r="153" customFormat="false" ht="15" hidden="false" customHeight="false" outlineLevel="0" collapsed="false">
      <c r="K153" s="30" t="n">
        <f aca="false">K152+1</f>
        <v>46434</v>
      </c>
      <c r="L153" s="31" t="n">
        <f aca="false">INDEX($B$7:$H$7,WEEKDAY(K153,2))</f>
        <v>1</v>
      </c>
      <c r="M153" s="31" t="n">
        <f aca="false">SUM(L$5:L153)</f>
        <v>107</v>
      </c>
      <c r="N153" s="30" t="n">
        <f aca="false">N152+1</f>
        <v>46434</v>
      </c>
      <c r="O153" s="31" t="n">
        <f aca="false">INDEX($B$17:$H$17,WEEKDAY(N153,2))</f>
        <v>1</v>
      </c>
      <c r="P153" s="31" t="n">
        <f aca="false">SUM(O$5:O153)</f>
        <v>107</v>
      </c>
      <c r="Q153" s="30" t="n">
        <f aca="false">Q152+1</f>
        <v>46434</v>
      </c>
      <c r="R153" s="31" t="n">
        <f aca="false">INDEX($B$27:$H$27,WEEKDAY(Q153,2))</f>
        <v>1</v>
      </c>
      <c r="S153" s="31" t="n">
        <f aca="false">SUM(R$5:R153)</f>
        <v>107</v>
      </c>
    </row>
    <row r="154" customFormat="false" ht="15" hidden="false" customHeight="false" outlineLevel="0" collapsed="false">
      <c r="K154" s="30" t="n">
        <f aca="false">K153+1</f>
        <v>46435</v>
      </c>
      <c r="L154" s="31" t="n">
        <f aca="false">INDEX($B$7:$H$7,WEEKDAY(K154,2))</f>
        <v>1</v>
      </c>
      <c r="M154" s="31" t="n">
        <f aca="false">SUM(L$5:L154)</f>
        <v>108</v>
      </c>
      <c r="N154" s="30" t="n">
        <f aca="false">N153+1</f>
        <v>46435</v>
      </c>
      <c r="O154" s="31" t="n">
        <f aca="false">INDEX($B$17:$H$17,WEEKDAY(N154,2))</f>
        <v>1</v>
      </c>
      <c r="P154" s="31" t="n">
        <f aca="false">SUM(O$5:O154)</f>
        <v>108</v>
      </c>
      <c r="Q154" s="30" t="n">
        <f aca="false">Q153+1</f>
        <v>46435</v>
      </c>
      <c r="R154" s="31" t="n">
        <f aca="false">INDEX($B$27:$H$27,WEEKDAY(Q154,2))</f>
        <v>1</v>
      </c>
      <c r="S154" s="31" t="n">
        <f aca="false">SUM(R$5:R154)</f>
        <v>108</v>
      </c>
    </row>
    <row r="155" customFormat="false" ht="15" hidden="false" customHeight="false" outlineLevel="0" collapsed="false">
      <c r="K155" s="30" t="n">
        <f aca="false">K154+1</f>
        <v>46436</v>
      </c>
      <c r="L155" s="31" t="n">
        <f aca="false">INDEX($B$7:$H$7,WEEKDAY(K155,2))</f>
        <v>1</v>
      </c>
      <c r="M155" s="31" t="n">
        <f aca="false">SUM(L$5:L155)</f>
        <v>109</v>
      </c>
      <c r="N155" s="30" t="n">
        <f aca="false">N154+1</f>
        <v>46436</v>
      </c>
      <c r="O155" s="31" t="n">
        <f aca="false">INDEX($B$17:$H$17,WEEKDAY(N155,2))</f>
        <v>1</v>
      </c>
      <c r="P155" s="31" t="n">
        <f aca="false">SUM(O$5:O155)</f>
        <v>109</v>
      </c>
      <c r="Q155" s="30" t="n">
        <f aca="false">Q154+1</f>
        <v>46436</v>
      </c>
      <c r="R155" s="31" t="n">
        <f aca="false">INDEX($B$27:$H$27,WEEKDAY(Q155,2))</f>
        <v>1</v>
      </c>
      <c r="S155" s="31" t="n">
        <f aca="false">SUM(R$5:R155)</f>
        <v>109</v>
      </c>
    </row>
    <row r="156" customFormat="false" ht="15" hidden="false" customHeight="false" outlineLevel="0" collapsed="false">
      <c r="K156" s="30" t="n">
        <f aca="false">K155+1</f>
        <v>46437</v>
      </c>
      <c r="L156" s="31" t="n">
        <f aca="false">INDEX($B$7:$H$7,WEEKDAY(K156,2))</f>
        <v>1</v>
      </c>
      <c r="M156" s="31" t="n">
        <f aca="false">SUM(L$5:L156)</f>
        <v>110</v>
      </c>
      <c r="N156" s="30" t="n">
        <f aca="false">N155+1</f>
        <v>46437</v>
      </c>
      <c r="O156" s="31" t="n">
        <f aca="false">INDEX($B$17:$H$17,WEEKDAY(N156,2))</f>
        <v>1</v>
      </c>
      <c r="P156" s="31" t="n">
        <f aca="false">SUM(O$5:O156)</f>
        <v>110</v>
      </c>
      <c r="Q156" s="30" t="n">
        <f aca="false">Q155+1</f>
        <v>46437</v>
      </c>
      <c r="R156" s="31" t="n">
        <f aca="false">INDEX($B$27:$H$27,WEEKDAY(Q156,2))</f>
        <v>1</v>
      </c>
      <c r="S156" s="31" t="n">
        <f aca="false">SUM(R$5:R156)</f>
        <v>110</v>
      </c>
    </row>
    <row r="157" customFormat="false" ht="15" hidden="false" customHeight="false" outlineLevel="0" collapsed="false">
      <c r="K157" s="30" t="n">
        <f aca="false">K156+1</f>
        <v>46438</v>
      </c>
      <c r="L157" s="31" t="n">
        <f aca="false">INDEX($B$7:$H$7,WEEKDAY(K157,2))</f>
        <v>0</v>
      </c>
      <c r="M157" s="31" t="n">
        <f aca="false">SUM(L$5:L157)</f>
        <v>110</v>
      </c>
      <c r="N157" s="30" t="n">
        <f aca="false">N156+1</f>
        <v>46438</v>
      </c>
      <c r="O157" s="31" t="n">
        <f aca="false">INDEX($B$17:$H$17,WEEKDAY(N157,2))</f>
        <v>0</v>
      </c>
      <c r="P157" s="31" t="n">
        <f aca="false">SUM(O$5:O157)</f>
        <v>110</v>
      </c>
      <c r="Q157" s="30" t="n">
        <f aca="false">Q156+1</f>
        <v>46438</v>
      </c>
      <c r="R157" s="31" t="n">
        <f aca="false">INDEX($B$27:$H$27,WEEKDAY(Q157,2))</f>
        <v>0</v>
      </c>
      <c r="S157" s="31" t="n">
        <f aca="false">SUM(R$5:R157)</f>
        <v>110</v>
      </c>
    </row>
    <row r="158" customFormat="false" ht="15" hidden="false" customHeight="false" outlineLevel="0" collapsed="false">
      <c r="K158" s="30" t="n">
        <f aca="false">K157+1</f>
        <v>46439</v>
      </c>
      <c r="L158" s="31" t="n">
        <f aca="false">INDEX($B$7:$H$7,WEEKDAY(K158,2))</f>
        <v>0</v>
      </c>
      <c r="M158" s="31" t="n">
        <f aca="false">SUM(L$5:L158)</f>
        <v>110</v>
      </c>
      <c r="N158" s="30" t="n">
        <f aca="false">N157+1</f>
        <v>46439</v>
      </c>
      <c r="O158" s="31" t="n">
        <f aca="false">INDEX($B$17:$H$17,WEEKDAY(N158,2))</f>
        <v>0</v>
      </c>
      <c r="P158" s="31" t="n">
        <f aca="false">SUM(O$5:O158)</f>
        <v>110</v>
      </c>
      <c r="Q158" s="30" t="n">
        <f aca="false">Q157+1</f>
        <v>46439</v>
      </c>
      <c r="R158" s="31" t="n">
        <f aca="false">INDEX($B$27:$H$27,WEEKDAY(Q158,2))</f>
        <v>0</v>
      </c>
      <c r="S158" s="31" t="n">
        <f aca="false">SUM(R$5:R158)</f>
        <v>110</v>
      </c>
    </row>
    <row r="159" customFormat="false" ht="15" hidden="false" customHeight="false" outlineLevel="0" collapsed="false">
      <c r="K159" s="30" t="n">
        <f aca="false">K158+1</f>
        <v>46440</v>
      </c>
      <c r="L159" s="31" t="n">
        <f aca="false">INDEX($B$7:$H$7,WEEKDAY(K159,2))</f>
        <v>1</v>
      </c>
      <c r="M159" s="31" t="n">
        <f aca="false">SUM(L$5:L159)</f>
        <v>111</v>
      </c>
      <c r="N159" s="30" t="n">
        <f aca="false">N158+1</f>
        <v>46440</v>
      </c>
      <c r="O159" s="31" t="n">
        <f aca="false">INDEX($B$17:$H$17,WEEKDAY(N159,2))</f>
        <v>1</v>
      </c>
      <c r="P159" s="31" t="n">
        <f aca="false">SUM(O$5:O159)</f>
        <v>111</v>
      </c>
      <c r="Q159" s="30" t="n">
        <f aca="false">Q158+1</f>
        <v>46440</v>
      </c>
      <c r="R159" s="31" t="n">
        <f aca="false">INDEX($B$27:$H$27,WEEKDAY(Q159,2))</f>
        <v>1</v>
      </c>
      <c r="S159" s="31" t="n">
        <f aca="false">SUM(R$5:R159)</f>
        <v>111</v>
      </c>
    </row>
    <row r="160" customFormat="false" ht="15" hidden="false" customHeight="false" outlineLevel="0" collapsed="false">
      <c r="K160" s="30" t="n">
        <f aca="false">K159+1</f>
        <v>46441</v>
      </c>
      <c r="L160" s="31" t="n">
        <f aca="false">INDEX($B$7:$H$7,WEEKDAY(K160,2))</f>
        <v>1</v>
      </c>
      <c r="M160" s="31" t="n">
        <f aca="false">SUM(L$5:L160)</f>
        <v>112</v>
      </c>
      <c r="N160" s="30" t="n">
        <f aca="false">N159+1</f>
        <v>46441</v>
      </c>
      <c r="O160" s="31" t="n">
        <f aca="false">INDEX($B$17:$H$17,WEEKDAY(N160,2))</f>
        <v>1</v>
      </c>
      <c r="P160" s="31" t="n">
        <f aca="false">SUM(O$5:O160)</f>
        <v>112</v>
      </c>
      <c r="Q160" s="30" t="n">
        <f aca="false">Q159+1</f>
        <v>46441</v>
      </c>
      <c r="R160" s="31" t="n">
        <f aca="false">INDEX($B$27:$H$27,WEEKDAY(Q160,2))</f>
        <v>1</v>
      </c>
      <c r="S160" s="31" t="n">
        <f aca="false">SUM(R$5:R160)</f>
        <v>112</v>
      </c>
    </row>
    <row r="161" customFormat="false" ht="15" hidden="false" customHeight="false" outlineLevel="0" collapsed="false">
      <c r="K161" s="30" t="n">
        <f aca="false">K160+1</f>
        <v>46442</v>
      </c>
      <c r="L161" s="31" t="n">
        <f aca="false">INDEX($B$7:$H$7,WEEKDAY(K161,2))</f>
        <v>1</v>
      </c>
      <c r="M161" s="31" t="n">
        <f aca="false">SUM(L$5:L161)</f>
        <v>113</v>
      </c>
      <c r="N161" s="30" t="n">
        <f aca="false">N160+1</f>
        <v>46442</v>
      </c>
      <c r="O161" s="31" t="n">
        <f aca="false">INDEX($B$17:$H$17,WEEKDAY(N161,2))</f>
        <v>1</v>
      </c>
      <c r="P161" s="31" t="n">
        <f aca="false">SUM(O$5:O161)</f>
        <v>113</v>
      </c>
      <c r="Q161" s="30" t="n">
        <f aca="false">Q160+1</f>
        <v>46442</v>
      </c>
      <c r="R161" s="31" t="n">
        <f aca="false">INDEX($B$27:$H$27,WEEKDAY(Q161,2))</f>
        <v>1</v>
      </c>
      <c r="S161" s="31" t="n">
        <f aca="false">SUM(R$5:R161)</f>
        <v>113</v>
      </c>
    </row>
    <row r="162" customFormat="false" ht="15" hidden="false" customHeight="false" outlineLevel="0" collapsed="false">
      <c r="K162" s="30" t="n">
        <f aca="false">K161+1</f>
        <v>46443</v>
      </c>
      <c r="L162" s="31" t="n">
        <f aca="false">INDEX($B$7:$H$7,WEEKDAY(K162,2))</f>
        <v>1</v>
      </c>
      <c r="M162" s="31" t="n">
        <f aca="false">SUM(L$5:L162)</f>
        <v>114</v>
      </c>
      <c r="N162" s="30" t="n">
        <f aca="false">N161+1</f>
        <v>46443</v>
      </c>
      <c r="O162" s="31" t="n">
        <f aca="false">INDEX($B$17:$H$17,WEEKDAY(N162,2))</f>
        <v>1</v>
      </c>
      <c r="P162" s="31" t="n">
        <f aca="false">SUM(O$5:O162)</f>
        <v>114</v>
      </c>
      <c r="Q162" s="30" t="n">
        <f aca="false">Q161+1</f>
        <v>46443</v>
      </c>
      <c r="R162" s="31" t="n">
        <f aca="false">INDEX($B$27:$H$27,WEEKDAY(Q162,2))</f>
        <v>1</v>
      </c>
      <c r="S162" s="31" t="n">
        <f aca="false">SUM(R$5:R162)</f>
        <v>114</v>
      </c>
    </row>
    <row r="163" customFormat="false" ht="15" hidden="false" customHeight="false" outlineLevel="0" collapsed="false">
      <c r="K163" s="30" t="n">
        <f aca="false">K162+1</f>
        <v>46444</v>
      </c>
      <c r="L163" s="31" t="n">
        <f aca="false">INDEX($B$7:$H$7,WEEKDAY(K163,2))</f>
        <v>1</v>
      </c>
      <c r="M163" s="31" t="n">
        <f aca="false">SUM(L$5:L163)</f>
        <v>115</v>
      </c>
      <c r="N163" s="30" t="n">
        <f aca="false">N162+1</f>
        <v>46444</v>
      </c>
      <c r="O163" s="31" t="n">
        <f aca="false">INDEX($B$17:$H$17,WEEKDAY(N163,2))</f>
        <v>1</v>
      </c>
      <c r="P163" s="31" t="n">
        <f aca="false">SUM(O$5:O163)</f>
        <v>115</v>
      </c>
      <c r="Q163" s="30" t="n">
        <f aca="false">Q162+1</f>
        <v>46444</v>
      </c>
      <c r="R163" s="31" t="n">
        <f aca="false">INDEX($B$27:$H$27,WEEKDAY(Q163,2))</f>
        <v>1</v>
      </c>
      <c r="S163" s="31" t="n">
        <f aca="false">SUM(R$5:R163)</f>
        <v>115</v>
      </c>
    </row>
    <row r="164" customFormat="false" ht="15" hidden="false" customHeight="false" outlineLevel="0" collapsed="false">
      <c r="K164" s="30" t="n">
        <f aca="false">K163+1</f>
        <v>46445</v>
      </c>
      <c r="L164" s="31" t="n">
        <f aca="false">INDEX($B$7:$H$7,WEEKDAY(K164,2))</f>
        <v>0</v>
      </c>
      <c r="M164" s="31" t="n">
        <f aca="false">SUM(L$5:L164)</f>
        <v>115</v>
      </c>
      <c r="N164" s="30" t="n">
        <f aca="false">N163+1</f>
        <v>46445</v>
      </c>
      <c r="O164" s="31" t="n">
        <f aca="false">INDEX($B$17:$H$17,WEEKDAY(N164,2))</f>
        <v>0</v>
      </c>
      <c r="P164" s="31" t="n">
        <f aca="false">SUM(O$5:O164)</f>
        <v>115</v>
      </c>
      <c r="Q164" s="30" t="n">
        <f aca="false">Q163+1</f>
        <v>46445</v>
      </c>
      <c r="R164" s="31" t="n">
        <f aca="false">INDEX($B$27:$H$27,WEEKDAY(Q164,2))</f>
        <v>0</v>
      </c>
      <c r="S164" s="31" t="n">
        <f aca="false">SUM(R$5:R164)</f>
        <v>115</v>
      </c>
    </row>
    <row r="165" customFormat="false" ht="15" hidden="false" customHeight="false" outlineLevel="0" collapsed="false">
      <c r="K165" s="30" t="n">
        <f aca="false">K164+1</f>
        <v>46446</v>
      </c>
      <c r="L165" s="31" t="n">
        <f aca="false">INDEX($B$7:$H$7,WEEKDAY(K165,2))</f>
        <v>0</v>
      </c>
      <c r="M165" s="31" t="n">
        <f aca="false">SUM(L$5:L165)</f>
        <v>115</v>
      </c>
      <c r="N165" s="30" t="n">
        <f aca="false">N164+1</f>
        <v>46446</v>
      </c>
      <c r="O165" s="31" t="n">
        <f aca="false">INDEX($B$17:$H$17,WEEKDAY(N165,2))</f>
        <v>0</v>
      </c>
      <c r="P165" s="31" t="n">
        <f aca="false">SUM(O$5:O165)</f>
        <v>115</v>
      </c>
      <c r="Q165" s="30" t="n">
        <f aca="false">Q164+1</f>
        <v>46446</v>
      </c>
      <c r="R165" s="31" t="n">
        <f aca="false">INDEX($B$27:$H$27,WEEKDAY(Q165,2))</f>
        <v>0</v>
      </c>
      <c r="S165" s="31" t="n">
        <f aca="false">SUM(R$5:R165)</f>
        <v>115</v>
      </c>
    </row>
    <row r="166" customFormat="false" ht="15" hidden="false" customHeight="false" outlineLevel="0" collapsed="false">
      <c r="K166" s="30" t="n">
        <f aca="false">K165+1</f>
        <v>46447</v>
      </c>
      <c r="L166" s="31" t="n">
        <f aca="false">INDEX($B$7:$H$7,WEEKDAY(K166,2))</f>
        <v>1</v>
      </c>
      <c r="M166" s="31" t="n">
        <f aca="false">SUM(L$5:L166)</f>
        <v>116</v>
      </c>
      <c r="N166" s="30" t="n">
        <f aca="false">N165+1</f>
        <v>46447</v>
      </c>
      <c r="O166" s="31" t="n">
        <f aca="false">INDEX($B$17:$H$17,WEEKDAY(N166,2))</f>
        <v>1</v>
      </c>
      <c r="P166" s="31" t="n">
        <f aca="false">SUM(O$5:O166)</f>
        <v>116</v>
      </c>
      <c r="Q166" s="30" t="n">
        <f aca="false">Q165+1</f>
        <v>46447</v>
      </c>
      <c r="R166" s="31" t="n">
        <f aca="false">INDEX($B$27:$H$27,WEEKDAY(Q166,2))</f>
        <v>1</v>
      </c>
      <c r="S166" s="31" t="n">
        <f aca="false">SUM(R$5:R166)</f>
        <v>116</v>
      </c>
    </row>
    <row r="167" customFormat="false" ht="15" hidden="false" customHeight="false" outlineLevel="0" collapsed="false">
      <c r="K167" s="30" t="n">
        <f aca="false">K166+1</f>
        <v>46448</v>
      </c>
      <c r="L167" s="31" t="n">
        <f aca="false">INDEX($B$7:$H$7,WEEKDAY(K167,2))</f>
        <v>1</v>
      </c>
      <c r="M167" s="31" t="n">
        <f aca="false">SUM(L$5:L167)</f>
        <v>117</v>
      </c>
      <c r="N167" s="30" t="n">
        <f aca="false">N166+1</f>
        <v>46448</v>
      </c>
      <c r="O167" s="31" t="n">
        <f aca="false">INDEX($B$17:$H$17,WEEKDAY(N167,2))</f>
        <v>1</v>
      </c>
      <c r="P167" s="31" t="n">
        <f aca="false">SUM(O$5:O167)</f>
        <v>117</v>
      </c>
      <c r="Q167" s="30" t="n">
        <f aca="false">Q166+1</f>
        <v>46448</v>
      </c>
      <c r="R167" s="31" t="n">
        <f aca="false">INDEX($B$27:$H$27,WEEKDAY(Q167,2))</f>
        <v>1</v>
      </c>
      <c r="S167" s="31" t="n">
        <f aca="false">SUM(R$5:R167)</f>
        <v>117</v>
      </c>
    </row>
    <row r="168" customFormat="false" ht="15" hidden="false" customHeight="false" outlineLevel="0" collapsed="false">
      <c r="K168" s="30" t="n">
        <f aca="false">K167+1</f>
        <v>46449</v>
      </c>
      <c r="L168" s="31" t="n">
        <f aca="false">INDEX($B$7:$H$7,WEEKDAY(K168,2))</f>
        <v>1</v>
      </c>
      <c r="M168" s="31" t="n">
        <f aca="false">SUM(L$5:L168)</f>
        <v>118</v>
      </c>
      <c r="N168" s="30" t="n">
        <f aca="false">N167+1</f>
        <v>46449</v>
      </c>
      <c r="O168" s="31" t="n">
        <f aca="false">INDEX($B$17:$H$17,WEEKDAY(N168,2))</f>
        <v>1</v>
      </c>
      <c r="P168" s="31" t="n">
        <f aca="false">SUM(O$5:O168)</f>
        <v>118</v>
      </c>
      <c r="Q168" s="30" t="n">
        <f aca="false">Q167+1</f>
        <v>46449</v>
      </c>
      <c r="R168" s="31" t="n">
        <f aca="false">INDEX($B$27:$H$27,WEEKDAY(Q168,2))</f>
        <v>1</v>
      </c>
      <c r="S168" s="31" t="n">
        <f aca="false">SUM(R$5:R168)</f>
        <v>118</v>
      </c>
    </row>
    <row r="169" customFormat="false" ht="15" hidden="false" customHeight="false" outlineLevel="0" collapsed="false">
      <c r="K169" s="30" t="n">
        <f aca="false">K168+1</f>
        <v>46450</v>
      </c>
      <c r="L169" s="31" t="n">
        <f aca="false">INDEX($B$7:$H$7,WEEKDAY(K169,2))</f>
        <v>1</v>
      </c>
      <c r="M169" s="31" t="n">
        <f aca="false">SUM(L$5:L169)</f>
        <v>119</v>
      </c>
      <c r="N169" s="30" t="n">
        <f aca="false">N168+1</f>
        <v>46450</v>
      </c>
      <c r="O169" s="31" t="n">
        <f aca="false">INDEX($B$17:$H$17,WEEKDAY(N169,2))</f>
        <v>1</v>
      </c>
      <c r="P169" s="31" t="n">
        <f aca="false">SUM(O$5:O169)</f>
        <v>119</v>
      </c>
      <c r="Q169" s="30" t="n">
        <f aca="false">Q168+1</f>
        <v>46450</v>
      </c>
      <c r="R169" s="31" t="n">
        <f aca="false">INDEX($B$27:$H$27,WEEKDAY(Q169,2))</f>
        <v>1</v>
      </c>
      <c r="S169" s="31" t="n">
        <f aca="false">SUM(R$5:R169)</f>
        <v>119</v>
      </c>
    </row>
    <row r="170" customFormat="false" ht="15" hidden="false" customHeight="false" outlineLevel="0" collapsed="false">
      <c r="K170" s="30" t="n">
        <f aca="false">K169+1</f>
        <v>46451</v>
      </c>
      <c r="L170" s="31" t="n">
        <f aca="false">INDEX($B$7:$H$7,WEEKDAY(K170,2))</f>
        <v>1</v>
      </c>
      <c r="M170" s="31" t="n">
        <f aca="false">SUM(L$5:L170)</f>
        <v>120</v>
      </c>
      <c r="N170" s="30" t="n">
        <f aca="false">N169+1</f>
        <v>46451</v>
      </c>
      <c r="O170" s="31" t="n">
        <f aca="false">INDEX($B$17:$H$17,WEEKDAY(N170,2))</f>
        <v>1</v>
      </c>
      <c r="P170" s="31" t="n">
        <f aca="false">SUM(O$5:O170)</f>
        <v>120</v>
      </c>
      <c r="Q170" s="30" t="n">
        <f aca="false">Q169+1</f>
        <v>46451</v>
      </c>
      <c r="R170" s="31" t="n">
        <f aca="false">INDEX($B$27:$H$27,WEEKDAY(Q170,2))</f>
        <v>1</v>
      </c>
      <c r="S170" s="31" t="n">
        <f aca="false">SUM(R$5:R170)</f>
        <v>120</v>
      </c>
    </row>
    <row r="171" customFormat="false" ht="15" hidden="false" customHeight="false" outlineLevel="0" collapsed="false">
      <c r="K171" s="30" t="n">
        <f aca="false">K170+1</f>
        <v>46452</v>
      </c>
      <c r="L171" s="31" t="n">
        <f aca="false">INDEX($B$7:$H$7,WEEKDAY(K171,2))</f>
        <v>0</v>
      </c>
      <c r="M171" s="31" t="n">
        <f aca="false">SUM(L$5:L171)</f>
        <v>120</v>
      </c>
      <c r="N171" s="30" t="n">
        <f aca="false">N170+1</f>
        <v>46452</v>
      </c>
      <c r="O171" s="31" t="n">
        <f aca="false">INDEX($B$17:$H$17,WEEKDAY(N171,2))</f>
        <v>0</v>
      </c>
      <c r="P171" s="31" t="n">
        <f aca="false">SUM(O$5:O171)</f>
        <v>120</v>
      </c>
      <c r="Q171" s="30" t="n">
        <f aca="false">Q170+1</f>
        <v>46452</v>
      </c>
      <c r="R171" s="31" t="n">
        <f aca="false">INDEX($B$27:$H$27,WEEKDAY(Q171,2))</f>
        <v>0</v>
      </c>
      <c r="S171" s="31" t="n">
        <f aca="false">SUM(R$5:R171)</f>
        <v>120</v>
      </c>
    </row>
    <row r="172" customFormat="false" ht="15" hidden="false" customHeight="false" outlineLevel="0" collapsed="false">
      <c r="K172" s="30" t="n">
        <f aca="false">K171+1</f>
        <v>46453</v>
      </c>
      <c r="L172" s="31" t="n">
        <f aca="false">INDEX($B$7:$H$7,WEEKDAY(K172,2))</f>
        <v>0</v>
      </c>
      <c r="M172" s="31" t="n">
        <f aca="false">SUM(L$5:L172)</f>
        <v>120</v>
      </c>
      <c r="N172" s="30" t="n">
        <f aca="false">N171+1</f>
        <v>46453</v>
      </c>
      <c r="O172" s="31" t="n">
        <f aca="false">INDEX($B$17:$H$17,WEEKDAY(N172,2))</f>
        <v>0</v>
      </c>
      <c r="P172" s="31" t="n">
        <f aca="false">SUM(O$5:O172)</f>
        <v>120</v>
      </c>
      <c r="Q172" s="30" t="n">
        <f aca="false">Q171+1</f>
        <v>46453</v>
      </c>
      <c r="R172" s="31" t="n">
        <f aca="false">INDEX($B$27:$H$27,WEEKDAY(Q172,2))</f>
        <v>0</v>
      </c>
      <c r="S172" s="31" t="n">
        <f aca="false">SUM(R$5:R172)</f>
        <v>120</v>
      </c>
    </row>
    <row r="173" customFormat="false" ht="15" hidden="false" customHeight="false" outlineLevel="0" collapsed="false">
      <c r="K173" s="30" t="n">
        <f aca="false">K172+1</f>
        <v>46454</v>
      </c>
      <c r="L173" s="31" t="n">
        <f aca="false">INDEX($B$7:$H$7,WEEKDAY(K173,2))</f>
        <v>1</v>
      </c>
      <c r="M173" s="31" t="n">
        <f aca="false">SUM(L$5:L173)</f>
        <v>121</v>
      </c>
      <c r="N173" s="30" t="n">
        <f aca="false">N172+1</f>
        <v>46454</v>
      </c>
      <c r="O173" s="31" t="n">
        <f aca="false">INDEX($B$17:$H$17,WEEKDAY(N173,2))</f>
        <v>1</v>
      </c>
      <c r="P173" s="31" t="n">
        <f aca="false">SUM(O$5:O173)</f>
        <v>121</v>
      </c>
      <c r="Q173" s="30" t="n">
        <f aca="false">Q172+1</f>
        <v>46454</v>
      </c>
      <c r="R173" s="31" t="n">
        <f aca="false">INDEX($B$27:$H$27,WEEKDAY(Q173,2))</f>
        <v>1</v>
      </c>
      <c r="S173" s="31" t="n">
        <f aca="false">SUM(R$5:R173)</f>
        <v>121</v>
      </c>
    </row>
    <row r="174" customFormat="false" ht="15" hidden="false" customHeight="false" outlineLevel="0" collapsed="false">
      <c r="K174" s="30" t="n">
        <f aca="false">K173+1</f>
        <v>46455</v>
      </c>
      <c r="L174" s="31" t="n">
        <f aca="false">INDEX($B$7:$H$7,WEEKDAY(K174,2))</f>
        <v>1</v>
      </c>
      <c r="M174" s="31" t="n">
        <f aca="false">SUM(L$5:L174)</f>
        <v>122</v>
      </c>
      <c r="N174" s="30" t="n">
        <f aca="false">N173+1</f>
        <v>46455</v>
      </c>
      <c r="O174" s="31" t="n">
        <f aca="false">INDEX($B$17:$H$17,WEEKDAY(N174,2))</f>
        <v>1</v>
      </c>
      <c r="P174" s="31" t="n">
        <f aca="false">SUM(O$5:O174)</f>
        <v>122</v>
      </c>
      <c r="Q174" s="30" t="n">
        <f aca="false">Q173+1</f>
        <v>46455</v>
      </c>
      <c r="R174" s="31" t="n">
        <f aca="false">INDEX($B$27:$H$27,WEEKDAY(Q174,2))</f>
        <v>1</v>
      </c>
      <c r="S174" s="31" t="n">
        <f aca="false">SUM(R$5:R174)</f>
        <v>122</v>
      </c>
    </row>
    <row r="175" customFormat="false" ht="15" hidden="false" customHeight="false" outlineLevel="0" collapsed="false">
      <c r="K175" s="30" t="n">
        <f aca="false">K174+1</f>
        <v>46456</v>
      </c>
      <c r="L175" s="31" t="n">
        <f aca="false">INDEX($B$7:$H$7,WEEKDAY(K175,2))</f>
        <v>1</v>
      </c>
      <c r="M175" s="31" t="n">
        <f aca="false">SUM(L$5:L175)</f>
        <v>123</v>
      </c>
      <c r="N175" s="30" t="n">
        <f aca="false">N174+1</f>
        <v>46456</v>
      </c>
      <c r="O175" s="31" t="n">
        <f aca="false">INDEX($B$17:$H$17,WEEKDAY(N175,2))</f>
        <v>1</v>
      </c>
      <c r="P175" s="31" t="n">
        <f aca="false">SUM(O$5:O175)</f>
        <v>123</v>
      </c>
      <c r="Q175" s="30" t="n">
        <f aca="false">Q174+1</f>
        <v>46456</v>
      </c>
      <c r="R175" s="31" t="n">
        <f aca="false">INDEX($B$27:$H$27,WEEKDAY(Q175,2))</f>
        <v>1</v>
      </c>
      <c r="S175" s="31" t="n">
        <f aca="false">SUM(R$5:R175)</f>
        <v>123</v>
      </c>
    </row>
    <row r="176" customFormat="false" ht="15" hidden="false" customHeight="false" outlineLevel="0" collapsed="false">
      <c r="K176" s="30" t="n">
        <f aca="false">K175+1</f>
        <v>46457</v>
      </c>
      <c r="L176" s="31" t="n">
        <f aca="false">INDEX($B$7:$H$7,WEEKDAY(K176,2))</f>
        <v>1</v>
      </c>
      <c r="M176" s="31" t="n">
        <f aca="false">SUM(L$5:L176)</f>
        <v>124</v>
      </c>
      <c r="N176" s="30" t="n">
        <f aca="false">N175+1</f>
        <v>46457</v>
      </c>
      <c r="O176" s="31" t="n">
        <f aca="false">INDEX($B$17:$H$17,WEEKDAY(N176,2))</f>
        <v>1</v>
      </c>
      <c r="P176" s="31" t="n">
        <f aca="false">SUM(O$5:O176)</f>
        <v>124</v>
      </c>
      <c r="Q176" s="30" t="n">
        <f aca="false">Q175+1</f>
        <v>46457</v>
      </c>
      <c r="R176" s="31" t="n">
        <f aca="false">INDEX($B$27:$H$27,WEEKDAY(Q176,2))</f>
        <v>1</v>
      </c>
      <c r="S176" s="31" t="n">
        <f aca="false">SUM(R$5:R176)</f>
        <v>124</v>
      </c>
    </row>
    <row r="177" customFormat="false" ht="15" hidden="false" customHeight="false" outlineLevel="0" collapsed="false">
      <c r="K177" s="30" t="n">
        <f aca="false">K176+1</f>
        <v>46458</v>
      </c>
      <c r="L177" s="31" t="n">
        <f aca="false">INDEX($B$7:$H$7,WEEKDAY(K177,2))</f>
        <v>1</v>
      </c>
      <c r="M177" s="31" t="n">
        <f aca="false">SUM(L$5:L177)</f>
        <v>125</v>
      </c>
      <c r="N177" s="30" t="n">
        <f aca="false">N176+1</f>
        <v>46458</v>
      </c>
      <c r="O177" s="31" t="n">
        <f aca="false">INDEX($B$17:$H$17,WEEKDAY(N177,2))</f>
        <v>1</v>
      </c>
      <c r="P177" s="31" t="n">
        <f aca="false">SUM(O$5:O177)</f>
        <v>125</v>
      </c>
      <c r="Q177" s="30" t="n">
        <f aca="false">Q176+1</f>
        <v>46458</v>
      </c>
      <c r="R177" s="31" t="n">
        <f aca="false">INDEX($B$27:$H$27,WEEKDAY(Q177,2))</f>
        <v>1</v>
      </c>
      <c r="S177" s="31" t="n">
        <f aca="false">SUM(R$5:R177)</f>
        <v>125</v>
      </c>
    </row>
    <row r="178" customFormat="false" ht="15" hidden="false" customHeight="false" outlineLevel="0" collapsed="false">
      <c r="K178" s="30" t="n">
        <f aca="false">K177+1</f>
        <v>46459</v>
      </c>
      <c r="L178" s="31" t="n">
        <f aca="false">INDEX($B$7:$H$7,WEEKDAY(K178,2))</f>
        <v>0</v>
      </c>
      <c r="M178" s="31" t="n">
        <f aca="false">SUM(L$5:L178)</f>
        <v>125</v>
      </c>
      <c r="N178" s="30" t="n">
        <f aca="false">N177+1</f>
        <v>46459</v>
      </c>
      <c r="O178" s="31" t="n">
        <f aca="false">INDEX($B$17:$H$17,WEEKDAY(N178,2))</f>
        <v>0</v>
      </c>
      <c r="P178" s="31" t="n">
        <f aca="false">SUM(O$5:O178)</f>
        <v>125</v>
      </c>
      <c r="Q178" s="30" t="n">
        <f aca="false">Q177+1</f>
        <v>46459</v>
      </c>
      <c r="R178" s="31" t="n">
        <f aca="false">INDEX($B$27:$H$27,WEEKDAY(Q178,2))</f>
        <v>0</v>
      </c>
      <c r="S178" s="31" t="n">
        <f aca="false">SUM(R$5:R178)</f>
        <v>125</v>
      </c>
    </row>
    <row r="179" customFormat="false" ht="15" hidden="false" customHeight="false" outlineLevel="0" collapsed="false">
      <c r="K179" s="30" t="n">
        <f aca="false">K178+1</f>
        <v>46460</v>
      </c>
      <c r="L179" s="31" t="n">
        <f aca="false">INDEX($B$7:$H$7,WEEKDAY(K179,2))</f>
        <v>0</v>
      </c>
      <c r="M179" s="31" t="n">
        <f aca="false">SUM(L$5:L179)</f>
        <v>125</v>
      </c>
      <c r="N179" s="30" t="n">
        <f aca="false">N178+1</f>
        <v>46460</v>
      </c>
      <c r="O179" s="31" t="n">
        <f aca="false">INDEX($B$17:$H$17,WEEKDAY(N179,2))</f>
        <v>0</v>
      </c>
      <c r="P179" s="31" t="n">
        <f aca="false">SUM(O$5:O179)</f>
        <v>125</v>
      </c>
      <c r="Q179" s="30" t="n">
        <f aca="false">Q178+1</f>
        <v>46460</v>
      </c>
      <c r="R179" s="31" t="n">
        <f aca="false">INDEX($B$27:$H$27,WEEKDAY(Q179,2))</f>
        <v>0</v>
      </c>
      <c r="S179" s="31" t="n">
        <f aca="false">SUM(R$5:R179)</f>
        <v>125</v>
      </c>
    </row>
    <row r="180" customFormat="false" ht="15" hidden="false" customHeight="false" outlineLevel="0" collapsed="false">
      <c r="K180" s="30" t="n">
        <f aca="false">K179+1</f>
        <v>46461</v>
      </c>
      <c r="L180" s="31" t="n">
        <f aca="false">INDEX($B$7:$H$7,WEEKDAY(K180,2))</f>
        <v>1</v>
      </c>
      <c r="M180" s="31" t="n">
        <f aca="false">SUM(L$5:L180)</f>
        <v>126</v>
      </c>
      <c r="N180" s="30" t="n">
        <f aca="false">N179+1</f>
        <v>46461</v>
      </c>
      <c r="O180" s="31" t="n">
        <f aca="false">INDEX($B$17:$H$17,WEEKDAY(N180,2))</f>
        <v>1</v>
      </c>
      <c r="P180" s="31" t="n">
        <f aca="false">SUM(O$5:O180)</f>
        <v>126</v>
      </c>
      <c r="Q180" s="30" t="n">
        <f aca="false">Q179+1</f>
        <v>46461</v>
      </c>
      <c r="R180" s="31" t="n">
        <f aca="false">INDEX($B$27:$H$27,WEEKDAY(Q180,2))</f>
        <v>1</v>
      </c>
      <c r="S180" s="31" t="n">
        <f aca="false">SUM(R$5:R180)</f>
        <v>126</v>
      </c>
    </row>
    <row r="181" customFormat="false" ht="15" hidden="false" customHeight="false" outlineLevel="0" collapsed="false">
      <c r="K181" s="30" t="n">
        <f aca="false">K180+1</f>
        <v>46462</v>
      </c>
      <c r="L181" s="31" t="n">
        <f aca="false">INDEX($B$7:$H$7,WEEKDAY(K181,2))</f>
        <v>1</v>
      </c>
      <c r="M181" s="31" t="n">
        <f aca="false">SUM(L$5:L181)</f>
        <v>127</v>
      </c>
      <c r="N181" s="30" t="n">
        <f aca="false">N180+1</f>
        <v>46462</v>
      </c>
      <c r="O181" s="31" t="n">
        <f aca="false">INDEX($B$17:$H$17,WEEKDAY(N181,2))</f>
        <v>1</v>
      </c>
      <c r="P181" s="31" t="n">
        <f aca="false">SUM(O$5:O181)</f>
        <v>127</v>
      </c>
      <c r="Q181" s="30" t="n">
        <f aca="false">Q180+1</f>
        <v>46462</v>
      </c>
      <c r="R181" s="31" t="n">
        <f aca="false">INDEX($B$27:$H$27,WEEKDAY(Q181,2))</f>
        <v>1</v>
      </c>
      <c r="S181" s="31" t="n">
        <f aca="false">SUM(R$5:R181)</f>
        <v>127</v>
      </c>
    </row>
    <row r="182" customFormat="false" ht="15" hidden="false" customHeight="false" outlineLevel="0" collapsed="false">
      <c r="K182" s="30" t="n">
        <f aca="false">K181+1</f>
        <v>46463</v>
      </c>
      <c r="L182" s="31" t="n">
        <f aca="false">INDEX($B$7:$H$7,WEEKDAY(K182,2))</f>
        <v>1</v>
      </c>
      <c r="M182" s="31" t="n">
        <f aca="false">SUM(L$5:L182)</f>
        <v>128</v>
      </c>
      <c r="N182" s="30" t="n">
        <f aca="false">N181+1</f>
        <v>46463</v>
      </c>
      <c r="O182" s="31" t="n">
        <f aca="false">INDEX($B$17:$H$17,WEEKDAY(N182,2))</f>
        <v>1</v>
      </c>
      <c r="P182" s="31" t="n">
        <f aca="false">SUM(O$5:O182)</f>
        <v>128</v>
      </c>
      <c r="Q182" s="30" t="n">
        <f aca="false">Q181+1</f>
        <v>46463</v>
      </c>
      <c r="R182" s="31" t="n">
        <f aca="false">INDEX($B$27:$H$27,WEEKDAY(Q182,2))</f>
        <v>1</v>
      </c>
      <c r="S182" s="31" t="n">
        <f aca="false">SUM(R$5:R182)</f>
        <v>128</v>
      </c>
    </row>
    <row r="183" customFormat="false" ht="15" hidden="false" customHeight="false" outlineLevel="0" collapsed="false">
      <c r="K183" s="30" t="n">
        <f aca="false">K182+1</f>
        <v>46464</v>
      </c>
      <c r="L183" s="31" t="n">
        <f aca="false">INDEX($B$7:$H$7,WEEKDAY(K183,2))</f>
        <v>1</v>
      </c>
      <c r="M183" s="31" t="n">
        <f aca="false">SUM(L$5:L183)</f>
        <v>129</v>
      </c>
      <c r="N183" s="30" t="n">
        <f aca="false">N182+1</f>
        <v>46464</v>
      </c>
      <c r="O183" s="31" t="n">
        <f aca="false">INDEX($B$17:$H$17,WEEKDAY(N183,2))</f>
        <v>1</v>
      </c>
      <c r="P183" s="31" t="n">
        <f aca="false">SUM(O$5:O183)</f>
        <v>129</v>
      </c>
      <c r="Q183" s="30" t="n">
        <f aca="false">Q182+1</f>
        <v>46464</v>
      </c>
      <c r="R183" s="31" t="n">
        <f aca="false">INDEX($B$27:$H$27,WEEKDAY(Q183,2))</f>
        <v>1</v>
      </c>
      <c r="S183" s="31" t="n">
        <f aca="false">SUM(R$5:R183)</f>
        <v>129</v>
      </c>
    </row>
    <row r="184" customFormat="false" ht="15" hidden="false" customHeight="false" outlineLevel="0" collapsed="false">
      <c r="K184" s="30" t="n">
        <f aca="false">K183+1</f>
        <v>46465</v>
      </c>
      <c r="L184" s="31" t="n">
        <f aca="false">INDEX($B$7:$H$7,WEEKDAY(K184,2))</f>
        <v>1</v>
      </c>
      <c r="M184" s="31" t="n">
        <f aca="false">SUM(L$5:L184)</f>
        <v>130</v>
      </c>
      <c r="N184" s="30" t="n">
        <f aca="false">N183+1</f>
        <v>46465</v>
      </c>
      <c r="O184" s="31" t="n">
        <f aca="false">INDEX($B$17:$H$17,WEEKDAY(N184,2))</f>
        <v>1</v>
      </c>
      <c r="P184" s="31" t="n">
        <f aca="false">SUM(O$5:O184)</f>
        <v>130</v>
      </c>
      <c r="Q184" s="30" t="n">
        <f aca="false">Q183+1</f>
        <v>46465</v>
      </c>
      <c r="R184" s="31" t="n">
        <f aca="false">INDEX($B$27:$H$27,WEEKDAY(Q184,2))</f>
        <v>1</v>
      </c>
      <c r="S184" s="31" t="n">
        <f aca="false">SUM(R$5:R184)</f>
        <v>130</v>
      </c>
    </row>
    <row r="185" customFormat="false" ht="15" hidden="false" customHeight="false" outlineLevel="0" collapsed="false">
      <c r="K185" s="30" t="n">
        <f aca="false">K184+1</f>
        <v>46466</v>
      </c>
      <c r="L185" s="31" t="n">
        <f aca="false">INDEX($B$7:$H$7,WEEKDAY(K185,2))</f>
        <v>0</v>
      </c>
      <c r="M185" s="31" t="n">
        <f aca="false">SUM(L$5:L185)</f>
        <v>130</v>
      </c>
      <c r="N185" s="30" t="n">
        <f aca="false">N184+1</f>
        <v>46466</v>
      </c>
      <c r="O185" s="31" t="n">
        <f aca="false">INDEX($B$17:$H$17,WEEKDAY(N185,2))</f>
        <v>0</v>
      </c>
      <c r="P185" s="31" t="n">
        <f aca="false">SUM(O$5:O185)</f>
        <v>130</v>
      </c>
      <c r="Q185" s="30" t="n">
        <f aca="false">Q184+1</f>
        <v>46466</v>
      </c>
      <c r="R185" s="31" t="n">
        <f aca="false">INDEX($B$27:$H$27,WEEKDAY(Q185,2))</f>
        <v>0</v>
      </c>
      <c r="S185" s="31" t="n">
        <f aca="false">SUM(R$5:R185)</f>
        <v>130</v>
      </c>
    </row>
    <row r="186" customFormat="false" ht="15" hidden="false" customHeight="false" outlineLevel="0" collapsed="false">
      <c r="K186" s="30" t="n">
        <f aca="false">K185+1</f>
        <v>46467</v>
      </c>
      <c r="L186" s="31" t="n">
        <f aca="false">INDEX($B$7:$H$7,WEEKDAY(K186,2))</f>
        <v>0</v>
      </c>
      <c r="M186" s="31" t="n">
        <f aca="false">SUM(L$5:L186)</f>
        <v>130</v>
      </c>
      <c r="N186" s="30" t="n">
        <f aca="false">N185+1</f>
        <v>46467</v>
      </c>
      <c r="O186" s="31" t="n">
        <f aca="false">INDEX($B$17:$H$17,WEEKDAY(N186,2))</f>
        <v>0</v>
      </c>
      <c r="P186" s="31" t="n">
        <f aca="false">SUM(O$5:O186)</f>
        <v>130</v>
      </c>
      <c r="Q186" s="30" t="n">
        <f aca="false">Q185+1</f>
        <v>46467</v>
      </c>
      <c r="R186" s="31" t="n">
        <f aca="false">INDEX($B$27:$H$27,WEEKDAY(Q186,2))</f>
        <v>0</v>
      </c>
      <c r="S186" s="31" t="n">
        <f aca="false">SUM(R$5:R186)</f>
        <v>130</v>
      </c>
    </row>
    <row r="187" customFormat="false" ht="15" hidden="false" customHeight="false" outlineLevel="0" collapsed="false">
      <c r="K187" s="30" t="n">
        <f aca="false">K186+1</f>
        <v>46468</v>
      </c>
      <c r="L187" s="31" t="n">
        <f aca="false">INDEX($B$7:$H$7,WEEKDAY(K187,2))</f>
        <v>1</v>
      </c>
      <c r="M187" s="31" t="n">
        <f aca="false">SUM(L$5:L187)</f>
        <v>131</v>
      </c>
      <c r="N187" s="30" t="n">
        <f aca="false">N186+1</f>
        <v>46468</v>
      </c>
      <c r="O187" s="31" t="n">
        <f aca="false">INDEX($B$17:$H$17,WEEKDAY(N187,2))</f>
        <v>1</v>
      </c>
      <c r="P187" s="31" t="n">
        <f aca="false">SUM(O$5:O187)</f>
        <v>131</v>
      </c>
      <c r="Q187" s="30" t="n">
        <f aca="false">Q186+1</f>
        <v>46468</v>
      </c>
      <c r="R187" s="31" t="n">
        <f aca="false">INDEX($B$27:$H$27,WEEKDAY(Q187,2))</f>
        <v>1</v>
      </c>
      <c r="S187" s="31" t="n">
        <f aca="false">SUM(R$5:R187)</f>
        <v>131</v>
      </c>
    </row>
    <row r="188" customFormat="false" ht="15" hidden="false" customHeight="false" outlineLevel="0" collapsed="false">
      <c r="K188" s="30" t="n">
        <f aca="false">K187+1</f>
        <v>46469</v>
      </c>
      <c r="L188" s="31" t="n">
        <f aca="false">INDEX($B$7:$H$7,WEEKDAY(K188,2))</f>
        <v>1</v>
      </c>
      <c r="M188" s="31" t="n">
        <f aca="false">SUM(L$5:L188)</f>
        <v>132</v>
      </c>
      <c r="N188" s="30" t="n">
        <f aca="false">N187+1</f>
        <v>46469</v>
      </c>
      <c r="O188" s="31" t="n">
        <f aca="false">INDEX($B$17:$H$17,WEEKDAY(N188,2))</f>
        <v>1</v>
      </c>
      <c r="P188" s="31" t="n">
        <f aca="false">SUM(O$5:O188)</f>
        <v>132</v>
      </c>
      <c r="Q188" s="30" t="n">
        <f aca="false">Q187+1</f>
        <v>46469</v>
      </c>
      <c r="R188" s="31" t="n">
        <f aca="false">INDEX($B$27:$H$27,WEEKDAY(Q188,2))</f>
        <v>1</v>
      </c>
      <c r="S188" s="31" t="n">
        <f aca="false">SUM(R$5:R188)</f>
        <v>132</v>
      </c>
    </row>
    <row r="189" customFormat="false" ht="15" hidden="false" customHeight="false" outlineLevel="0" collapsed="false">
      <c r="K189" s="30" t="n">
        <f aca="false">K188+1</f>
        <v>46470</v>
      </c>
      <c r="L189" s="31" t="n">
        <f aca="false">INDEX($B$7:$H$7,WEEKDAY(K189,2))</f>
        <v>1</v>
      </c>
      <c r="M189" s="31" t="n">
        <f aca="false">SUM(L$5:L189)</f>
        <v>133</v>
      </c>
      <c r="N189" s="30" t="n">
        <f aca="false">N188+1</f>
        <v>46470</v>
      </c>
      <c r="O189" s="31" t="n">
        <f aca="false">INDEX($B$17:$H$17,WEEKDAY(N189,2))</f>
        <v>1</v>
      </c>
      <c r="P189" s="31" t="n">
        <f aca="false">SUM(O$5:O189)</f>
        <v>133</v>
      </c>
      <c r="Q189" s="30" t="n">
        <f aca="false">Q188+1</f>
        <v>46470</v>
      </c>
      <c r="R189" s="31" t="n">
        <f aca="false">INDEX($B$27:$H$27,WEEKDAY(Q189,2))</f>
        <v>1</v>
      </c>
      <c r="S189" s="31" t="n">
        <f aca="false">SUM(R$5:R189)</f>
        <v>133</v>
      </c>
    </row>
    <row r="190" customFormat="false" ht="15" hidden="false" customHeight="false" outlineLevel="0" collapsed="false">
      <c r="K190" s="30" t="n">
        <f aca="false">K189+1</f>
        <v>46471</v>
      </c>
      <c r="L190" s="31" t="n">
        <f aca="false">INDEX($B$7:$H$7,WEEKDAY(K190,2))</f>
        <v>1</v>
      </c>
      <c r="M190" s="31" t="n">
        <f aca="false">SUM(L$5:L190)</f>
        <v>134</v>
      </c>
      <c r="N190" s="30" t="n">
        <f aca="false">N189+1</f>
        <v>46471</v>
      </c>
      <c r="O190" s="31" t="n">
        <f aca="false">INDEX($B$17:$H$17,WEEKDAY(N190,2))</f>
        <v>1</v>
      </c>
      <c r="P190" s="31" t="n">
        <f aca="false">SUM(O$5:O190)</f>
        <v>134</v>
      </c>
      <c r="Q190" s="30" t="n">
        <f aca="false">Q189+1</f>
        <v>46471</v>
      </c>
      <c r="R190" s="31" t="n">
        <f aca="false">INDEX($B$27:$H$27,WEEKDAY(Q190,2))</f>
        <v>1</v>
      </c>
      <c r="S190" s="31" t="n">
        <f aca="false">SUM(R$5:R190)</f>
        <v>134</v>
      </c>
    </row>
    <row r="191" customFormat="false" ht="15" hidden="false" customHeight="false" outlineLevel="0" collapsed="false">
      <c r="K191" s="30" t="n">
        <f aca="false">K190+1</f>
        <v>46472</v>
      </c>
      <c r="L191" s="31" t="n">
        <f aca="false">INDEX($B$7:$H$7,WEEKDAY(K191,2))</f>
        <v>1</v>
      </c>
      <c r="M191" s="31" t="n">
        <f aca="false">SUM(L$5:L191)</f>
        <v>135</v>
      </c>
      <c r="N191" s="30" t="n">
        <f aca="false">N190+1</f>
        <v>46472</v>
      </c>
      <c r="O191" s="31" t="n">
        <f aca="false">INDEX($B$17:$H$17,WEEKDAY(N191,2))</f>
        <v>1</v>
      </c>
      <c r="P191" s="31" t="n">
        <f aca="false">SUM(O$5:O191)</f>
        <v>135</v>
      </c>
      <c r="Q191" s="30" t="n">
        <f aca="false">Q190+1</f>
        <v>46472</v>
      </c>
      <c r="R191" s="31" t="n">
        <f aca="false">INDEX($B$27:$H$27,WEEKDAY(Q191,2))</f>
        <v>1</v>
      </c>
      <c r="S191" s="31" t="n">
        <f aca="false">SUM(R$5:R191)</f>
        <v>135</v>
      </c>
    </row>
    <row r="192" customFormat="false" ht="15" hidden="false" customHeight="false" outlineLevel="0" collapsed="false">
      <c r="K192" s="30" t="n">
        <f aca="false">K191+1</f>
        <v>46473</v>
      </c>
      <c r="L192" s="31" t="n">
        <f aca="false">INDEX($B$7:$H$7,WEEKDAY(K192,2))</f>
        <v>0</v>
      </c>
      <c r="M192" s="31" t="n">
        <f aca="false">SUM(L$5:L192)</f>
        <v>135</v>
      </c>
      <c r="N192" s="30" t="n">
        <f aca="false">N191+1</f>
        <v>46473</v>
      </c>
      <c r="O192" s="31" t="n">
        <f aca="false">INDEX($B$17:$H$17,WEEKDAY(N192,2))</f>
        <v>0</v>
      </c>
      <c r="P192" s="31" t="n">
        <f aca="false">SUM(O$5:O192)</f>
        <v>135</v>
      </c>
      <c r="Q192" s="30" t="n">
        <f aca="false">Q191+1</f>
        <v>46473</v>
      </c>
      <c r="R192" s="31" t="n">
        <f aca="false">INDEX($B$27:$H$27,WEEKDAY(Q192,2))</f>
        <v>0</v>
      </c>
      <c r="S192" s="31" t="n">
        <f aca="false">SUM(R$5:R192)</f>
        <v>135</v>
      </c>
    </row>
    <row r="193" customFormat="false" ht="15" hidden="false" customHeight="false" outlineLevel="0" collapsed="false">
      <c r="K193" s="30" t="n">
        <f aca="false">K192+1</f>
        <v>46474</v>
      </c>
      <c r="L193" s="31" t="n">
        <f aca="false">INDEX($B$7:$H$7,WEEKDAY(K193,2))</f>
        <v>0</v>
      </c>
      <c r="M193" s="31" t="n">
        <f aca="false">SUM(L$5:L193)</f>
        <v>135</v>
      </c>
      <c r="N193" s="30" t="n">
        <f aca="false">N192+1</f>
        <v>46474</v>
      </c>
      <c r="O193" s="31" t="n">
        <f aca="false">INDEX($B$17:$H$17,WEEKDAY(N193,2))</f>
        <v>0</v>
      </c>
      <c r="P193" s="31" t="n">
        <f aca="false">SUM(O$5:O193)</f>
        <v>135</v>
      </c>
      <c r="Q193" s="30" t="n">
        <f aca="false">Q192+1</f>
        <v>46474</v>
      </c>
      <c r="R193" s="31" t="n">
        <f aca="false">INDEX($B$27:$H$27,WEEKDAY(Q193,2))</f>
        <v>0</v>
      </c>
      <c r="S193" s="31" t="n">
        <f aca="false">SUM(R$5:R193)</f>
        <v>135</v>
      </c>
    </row>
    <row r="194" customFormat="false" ht="15" hidden="false" customHeight="false" outlineLevel="0" collapsed="false">
      <c r="K194" s="30" t="n">
        <f aca="false">K193+1</f>
        <v>46475</v>
      </c>
      <c r="L194" s="31" t="n">
        <f aca="false">INDEX($B$7:$H$7,WEEKDAY(K194,2))</f>
        <v>1</v>
      </c>
      <c r="M194" s="31" t="n">
        <f aca="false">SUM(L$5:L194)</f>
        <v>136</v>
      </c>
      <c r="N194" s="30" t="n">
        <f aca="false">N193+1</f>
        <v>46475</v>
      </c>
      <c r="O194" s="31" t="n">
        <f aca="false">INDEX($B$17:$H$17,WEEKDAY(N194,2))</f>
        <v>1</v>
      </c>
      <c r="P194" s="31" t="n">
        <f aca="false">SUM(O$5:O194)</f>
        <v>136</v>
      </c>
      <c r="Q194" s="30" t="n">
        <f aca="false">Q193+1</f>
        <v>46475</v>
      </c>
      <c r="R194" s="31" t="n">
        <f aca="false">INDEX($B$27:$H$27,WEEKDAY(Q194,2))</f>
        <v>1</v>
      </c>
      <c r="S194" s="31" t="n">
        <f aca="false">SUM(R$5:R194)</f>
        <v>136</v>
      </c>
    </row>
    <row r="195" customFormat="false" ht="15" hidden="false" customHeight="false" outlineLevel="0" collapsed="false">
      <c r="K195" s="30" t="n">
        <f aca="false">K194+1</f>
        <v>46476</v>
      </c>
      <c r="L195" s="31" t="n">
        <f aca="false">INDEX($B$7:$H$7,WEEKDAY(K195,2))</f>
        <v>1</v>
      </c>
      <c r="M195" s="31" t="n">
        <f aca="false">SUM(L$5:L195)</f>
        <v>137</v>
      </c>
      <c r="N195" s="30" t="n">
        <f aca="false">N194+1</f>
        <v>46476</v>
      </c>
      <c r="O195" s="31" t="n">
        <f aca="false">INDEX($B$17:$H$17,WEEKDAY(N195,2))</f>
        <v>1</v>
      </c>
      <c r="P195" s="31" t="n">
        <f aca="false">SUM(O$5:O195)</f>
        <v>137</v>
      </c>
      <c r="Q195" s="30" t="n">
        <f aca="false">Q194+1</f>
        <v>46476</v>
      </c>
      <c r="R195" s="31" t="n">
        <f aca="false">INDEX($B$27:$H$27,WEEKDAY(Q195,2))</f>
        <v>1</v>
      </c>
      <c r="S195" s="31" t="n">
        <f aca="false">SUM(R$5:R195)</f>
        <v>137</v>
      </c>
    </row>
    <row r="196" customFormat="false" ht="15" hidden="false" customHeight="false" outlineLevel="0" collapsed="false">
      <c r="K196" s="30" t="n">
        <f aca="false">K195+1</f>
        <v>46477</v>
      </c>
      <c r="L196" s="31" t="n">
        <f aca="false">INDEX($B$7:$H$7,WEEKDAY(K196,2))</f>
        <v>1</v>
      </c>
      <c r="M196" s="31" t="n">
        <f aca="false">SUM(L$5:L196)</f>
        <v>138</v>
      </c>
      <c r="N196" s="30" t="n">
        <f aca="false">N195+1</f>
        <v>46477</v>
      </c>
      <c r="O196" s="31" t="n">
        <f aca="false">INDEX($B$17:$H$17,WEEKDAY(N196,2))</f>
        <v>1</v>
      </c>
      <c r="P196" s="31" t="n">
        <f aca="false">SUM(O$5:O196)</f>
        <v>138</v>
      </c>
      <c r="Q196" s="30" t="n">
        <f aca="false">Q195+1</f>
        <v>46477</v>
      </c>
      <c r="R196" s="31" t="n">
        <f aca="false">INDEX($B$27:$H$27,WEEKDAY(Q196,2))</f>
        <v>1</v>
      </c>
      <c r="S196" s="31" t="n">
        <f aca="false">SUM(R$5:R196)</f>
        <v>138</v>
      </c>
    </row>
    <row r="197" customFormat="false" ht="15" hidden="false" customHeight="false" outlineLevel="0" collapsed="false">
      <c r="K197" s="30" t="n">
        <f aca="false">K196+1</f>
        <v>46478</v>
      </c>
      <c r="L197" s="31" t="n">
        <f aca="false">INDEX($B$7:$H$7,WEEKDAY(K197,2))</f>
        <v>1</v>
      </c>
      <c r="M197" s="31" t="n">
        <f aca="false">SUM(L$5:L197)</f>
        <v>139</v>
      </c>
      <c r="N197" s="30" t="n">
        <f aca="false">N196+1</f>
        <v>46478</v>
      </c>
      <c r="O197" s="31" t="n">
        <f aca="false">INDEX($B$17:$H$17,WEEKDAY(N197,2))</f>
        <v>1</v>
      </c>
      <c r="P197" s="31" t="n">
        <f aca="false">SUM(O$5:O197)</f>
        <v>139</v>
      </c>
      <c r="Q197" s="30" t="n">
        <f aca="false">Q196+1</f>
        <v>46478</v>
      </c>
      <c r="R197" s="31" t="n">
        <f aca="false">INDEX($B$27:$H$27,WEEKDAY(Q197,2))</f>
        <v>1</v>
      </c>
      <c r="S197" s="31" t="n">
        <f aca="false">SUM(R$5:R197)</f>
        <v>139</v>
      </c>
    </row>
    <row r="198" customFormat="false" ht="15" hidden="false" customHeight="false" outlineLevel="0" collapsed="false">
      <c r="K198" s="30" t="n">
        <f aca="false">K197+1</f>
        <v>46479</v>
      </c>
      <c r="L198" s="31" t="n">
        <f aca="false">INDEX($B$7:$H$7,WEEKDAY(K198,2))</f>
        <v>1</v>
      </c>
      <c r="M198" s="31" t="n">
        <f aca="false">SUM(L$5:L198)</f>
        <v>140</v>
      </c>
      <c r="N198" s="30" t="n">
        <f aca="false">N197+1</f>
        <v>46479</v>
      </c>
      <c r="O198" s="31" t="n">
        <f aca="false">INDEX($B$17:$H$17,WEEKDAY(N198,2))</f>
        <v>1</v>
      </c>
      <c r="P198" s="31" t="n">
        <f aca="false">SUM(O$5:O198)</f>
        <v>140</v>
      </c>
      <c r="Q198" s="30" t="n">
        <f aca="false">Q197+1</f>
        <v>46479</v>
      </c>
      <c r="R198" s="31" t="n">
        <f aca="false">INDEX($B$27:$H$27,WEEKDAY(Q198,2))</f>
        <v>1</v>
      </c>
      <c r="S198" s="31" t="n">
        <f aca="false">SUM(R$5:R198)</f>
        <v>140</v>
      </c>
    </row>
    <row r="199" customFormat="false" ht="15" hidden="false" customHeight="false" outlineLevel="0" collapsed="false">
      <c r="K199" s="30" t="n">
        <f aca="false">K198+1</f>
        <v>46480</v>
      </c>
      <c r="L199" s="31" t="n">
        <f aca="false">INDEX($B$7:$H$7,WEEKDAY(K199,2))</f>
        <v>0</v>
      </c>
      <c r="M199" s="31" t="n">
        <f aca="false">SUM(L$5:L199)</f>
        <v>140</v>
      </c>
      <c r="N199" s="30" t="n">
        <f aca="false">N198+1</f>
        <v>46480</v>
      </c>
      <c r="O199" s="31" t="n">
        <f aca="false">INDEX($B$17:$H$17,WEEKDAY(N199,2))</f>
        <v>0</v>
      </c>
      <c r="P199" s="31" t="n">
        <f aca="false">SUM(O$5:O199)</f>
        <v>140</v>
      </c>
      <c r="Q199" s="30" t="n">
        <f aca="false">Q198+1</f>
        <v>46480</v>
      </c>
      <c r="R199" s="31" t="n">
        <f aca="false">INDEX($B$27:$H$27,WEEKDAY(Q199,2))</f>
        <v>0</v>
      </c>
      <c r="S199" s="31" t="n">
        <f aca="false">SUM(R$5:R199)</f>
        <v>140</v>
      </c>
    </row>
    <row r="200" customFormat="false" ht="15" hidden="false" customHeight="false" outlineLevel="0" collapsed="false">
      <c r="K200" s="30" t="n">
        <f aca="false">K199+1</f>
        <v>46481</v>
      </c>
      <c r="L200" s="31" t="n">
        <f aca="false">INDEX($B$7:$H$7,WEEKDAY(K200,2))</f>
        <v>0</v>
      </c>
      <c r="M200" s="31" t="n">
        <f aca="false">SUM(L$5:L200)</f>
        <v>140</v>
      </c>
      <c r="N200" s="30" t="n">
        <f aca="false">N199+1</f>
        <v>46481</v>
      </c>
      <c r="O200" s="31" t="n">
        <f aca="false">INDEX($B$17:$H$17,WEEKDAY(N200,2))</f>
        <v>0</v>
      </c>
      <c r="P200" s="31" t="n">
        <f aca="false">SUM(O$5:O200)</f>
        <v>140</v>
      </c>
      <c r="Q200" s="30" t="n">
        <f aca="false">Q199+1</f>
        <v>46481</v>
      </c>
      <c r="R200" s="31" t="n">
        <f aca="false">INDEX($B$27:$H$27,WEEKDAY(Q200,2))</f>
        <v>0</v>
      </c>
      <c r="S200" s="31" t="n">
        <f aca="false">SUM(R$5:R200)</f>
        <v>140</v>
      </c>
    </row>
    <row r="201" customFormat="false" ht="15" hidden="false" customHeight="false" outlineLevel="0" collapsed="false">
      <c r="K201" s="30" t="n">
        <f aca="false">K200+1</f>
        <v>46482</v>
      </c>
      <c r="L201" s="31" t="n">
        <f aca="false">INDEX($B$7:$H$7,WEEKDAY(K201,2))</f>
        <v>1</v>
      </c>
      <c r="M201" s="31" t="n">
        <f aca="false">SUM(L$5:L201)</f>
        <v>141</v>
      </c>
      <c r="N201" s="30" t="n">
        <f aca="false">N200+1</f>
        <v>46482</v>
      </c>
      <c r="O201" s="31" t="n">
        <f aca="false">INDEX($B$17:$H$17,WEEKDAY(N201,2))</f>
        <v>1</v>
      </c>
      <c r="P201" s="31" t="n">
        <f aca="false">SUM(O$5:O201)</f>
        <v>141</v>
      </c>
      <c r="Q201" s="30" t="n">
        <f aca="false">Q200+1</f>
        <v>46482</v>
      </c>
      <c r="R201" s="31" t="n">
        <f aca="false">INDEX($B$27:$H$27,WEEKDAY(Q201,2))</f>
        <v>1</v>
      </c>
      <c r="S201" s="31" t="n">
        <f aca="false">SUM(R$5:R201)</f>
        <v>141</v>
      </c>
    </row>
    <row r="202" customFormat="false" ht="15" hidden="false" customHeight="false" outlineLevel="0" collapsed="false">
      <c r="K202" s="30" t="n">
        <f aca="false">K201+1</f>
        <v>46483</v>
      </c>
      <c r="L202" s="31" t="n">
        <f aca="false">INDEX($B$7:$H$7,WEEKDAY(K202,2))</f>
        <v>1</v>
      </c>
      <c r="M202" s="31" t="n">
        <f aca="false">SUM(L$5:L202)</f>
        <v>142</v>
      </c>
      <c r="N202" s="30" t="n">
        <f aca="false">N201+1</f>
        <v>46483</v>
      </c>
      <c r="O202" s="31" t="n">
        <f aca="false">INDEX($B$17:$H$17,WEEKDAY(N202,2))</f>
        <v>1</v>
      </c>
      <c r="P202" s="31" t="n">
        <f aca="false">SUM(O$5:O202)</f>
        <v>142</v>
      </c>
      <c r="Q202" s="30" t="n">
        <f aca="false">Q201+1</f>
        <v>46483</v>
      </c>
      <c r="R202" s="31" t="n">
        <f aca="false">INDEX($B$27:$H$27,WEEKDAY(Q202,2))</f>
        <v>1</v>
      </c>
      <c r="S202" s="31" t="n">
        <f aca="false">SUM(R$5:R202)</f>
        <v>142</v>
      </c>
    </row>
    <row r="203" customFormat="false" ht="15" hidden="false" customHeight="false" outlineLevel="0" collapsed="false">
      <c r="K203" s="30" t="n">
        <f aca="false">K202+1</f>
        <v>46484</v>
      </c>
      <c r="L203" s="31" t="n">
        <f aca="false">INDEX($B$7:$H$7,WEEKDAY(K203,2))</f>
        <v>1</v>
      </c>
      <c r="M203" s="31" t="n">
        <f aca="false">SUM(L$5:L203)</f>
        <v>143</v>
      </c>
      <c r="N203" s="30" t="n">
        <f aca="false">N202+1</f>
        <v>46484</v>
      </c>
      <c r="O203" s="31" t="n">
        <f aca="false">INDEX($B$17:$H$17,WEEKDAY(N203,2))</f>
        <v>1</v>
      </c>
      <c r="P203" s="31" t="n">
        <f aca="false">SUM(O$5:O203)</f>
        <v>143</v>
      </c>
      <c r="Q203" s="30" t="n">
        <f aca="false">Q202+1</f>
        <v>46484</v>
      </c>
      <c r="R203" s="31" t="n">
        <f aca="false">INDEX($B$27:$H$27,WEEKDAY(Q203,2))</f>
        <v>1</v>
      </c>
      <c r="S203" s="31" t="n">
        <f aca="false">SUM(R$5:R203)</f>
        <v>143</v>
      </c>
    </row>
    <row r="204" customFormat="false" ht="15" hidden="false" customHeight="false" outlineLevel="0" collapsed="false">
      <c r="K204" s="30" t="n">
        <f aca="false">K203+1</f>
        <v>46485</v>
      </c>
      <c r="L204" s="31" t="n">
        <f aca="false">INDEX($B$7:$H$7,WEEKDAY(K204,2))</f>
        <v>1</v>
      </c>
      <c r="M204" s="31" t="n">
        <f aca="false">SUM(L$5:L204)</f>
        <v>144</v>
      </c>
      <c r="N204" s="30" t="n">
        <f aca="false">N203+1</f>
        <v>46485</v>
      </c>
      <c r="O204" s="31" t="n">
        <f aca="false">INDEX($B$17:$H$17,WEEKDAY(N204,2))</f>
        <v>1</v>
      </c>
      <c r="P204" s="31" t="n">
        <f aca="false">SUM(O$5:O204)</f>
        <v>144</v>
      </c>
      <c r="Q204" s="30" t="n">
        <f aca="false">Q203+1</f>
        <v>46485</v>
      </c>
      <c r="R204" s="31" t="n">
        <f aca="false">INDEX($B$27:$H$27,WEEKDAY(Q204,2))</f>
        <v>1</v>
      </c>
      <c r="S204" s="31" t="n">
        <f aca="false">SUM(R$5:R204)</f>
        <v>144</v>
      </c>
    </row>
    <row r="205" customFormat="false" ht="15" hidden="false" customHeight="false" outlineLevel="0" collapsed="false">
      <c r="K205" s="30" t="n">
        <f aca="false">K204+1</f>
        <v>46486</v>
      </c>
      <c r="L205" s="31" t="n">
        <f aca="false">INDEX($B$7:$H$7,WEEKDAY(K205,2))</f>
        <v>1</v>
      </c>
      <c r="M205" s="31" t="n">
        <f aca="false">SUM(L$5:L205)</f>
        <v>145</v>
      </c>
      <c r="N205" s="30" t="n">
        <f aca="false">N204+1</f>
        <v>46486</v>
      </c>
      <c r="O205" s="31" t="n">
        <f aca="false">INDEX($B$17:$H$17,WEEKDAY(N205,2))</f>
        <v>1</v>
      </c>
      <c r="P205" s="31" t="n">
        <f aca="false">SUM(O$5:O205)</f>
        <v>145</v>
      </c>
      <c r="Q205" s="30" t="n">
        <f aca="false">Q204+1</f>
        <v>46486</v>
      </c>
      <c r="R205" s="31" t="n">
        <f aca="false">INDEX($B$27:$H$27,WEEKDAY(Q205,2))</f>
        <v>1</v>
      </c>
      <c r="S205" s="31" t="n">
        <f aca="false">SUM(R$5:R205)</f>
        <v>145</v>
      </c>
    </row>
    <row r="206" customFormat="false" ht="15" hidden="false" customHeight="false" outlineLevel="0" collapsed="false">
      <c r="K206" s="30" t="n">
        <f aca="false">K205+1</f>
        <v>46487</v>
      </c>
      <c r="L206" s="31" t="n">
        <f aca="false">INDEX($B$7:$H$7,WEEKDAY(K206,2))</f>
        <v>0</v>
      </c>
      <c r="M206" s="31" t="n">
        <f aca="false">SUM(L$5:L206)</f>
        <v>145</v>
      </c>
      <c r="N206" s="30" t="n">
        <f aca="false">N205+1</f>
        <v>46487</v>
      </c>
      <c r="O206" s="31" t="n">
        <f aca="false">INDEX($B$17:$H$17,WEEKDAY(N206,2))</f>
        <v>0</v>
      </c>
      <c r="P206" s="31" t="n">
        <f aca="false">SUM(O$5:O206)</f>
        <v>145</v>
      </c>
      <c r="Q206" s="30" t="n">
        <f aca="false">Q205+1</f>
        <v>46487</v>
      </c>
      <c r="R206" s="31" t="n">
        <f aca="false">INDEX($B$27:$H$27,WEEKDAY(Q206,2))</f>
        <v>0</v>
      </c>
      <c r="S206" s="31" t="n">
        <f aca="false">SUM(R$5:R206)</f>
        <v>145</v>
      </c>
    </row>
    <row r="207" customFormat="false" ht="15" hidden="false" customHeight="false" outlineLevel="0" collapsed="false">
      <c r="K207" s="30" t="n">
        <f aca="false">K206+1</f>
        <v>46488</v>
      </c>
      <c r="L207" s="31" t="n">
        <f aca="false">INDEX($B$7:$H$7,WEEKDAY(K207,2))</f>
        <v>0</v>
      </c>
      <c r="M207" s="31" t="n">
        <f aca="false">SUM(L$5:L207)</f>
        <v>145</v>
      </c>
      <c r="N207" s="30" t="n">
        <f aca="false">N206+1</f>
        <v>46488</v>
      </c>
      <c r="O207" s="31" t="n">
        <f aca="false">INDEX($B$17:$H$17,WEEKDAY(N207,2))</f>
        <v>0</v>
      </c>
      <c r="P207" s="31" t="n">
        <f aca="false">SUM(O$5:O207)</f>
        <v>145</v>
      </c>
      <c r="Q207" s="30" t="n">
        <f aca="false">Q206+1</f>
        <v>46488</v>
      </c>
      <c r="R207" s="31" t="n">
        <f aca="false">INDEX($B$27:$H$27,WEEKDAY(Q207,2))</f>
        <v>0</v>
      </c>
      <c r="S207" s="31" t="n">
        <f aca="false">SUM(R$5:R207)</f>
        <v>145</v>
      </c>
    </row>
    <row r="208" customFormat="false" ht="15" hidden="false" customHeight="false" outlineLevel="0" collapsed="false">
      <c r="K208" s="30" t="n">
        <f aca="false">K207+1</f>
        <v>46489</v>
      </c>
      <c r="L208" s="31" t="n">
        <f aca="false">INDEX($B$7:$H$7,WEEKDAY(K208,2))</f>
        <v>1</v>
      </c>
      <c r="M208" s="31" t="n">
        <f aca="false">SUM(L$5:L208)</f>
        <v>146</v>
      </c>
      <c r="N208" s="30" t="n">
        <f aca="false">N207+1</f>
        <v>46489</v>
      </c>
      <c r="O208" s="31" t="n">
        <f aca="false">INDEX($B$17:$H$17,WEEKDAY(N208,2))</f>
        <v>1</v>
      </c>
      <c r="P208" s="31" t="n">
        <f aca="false">SUM(O$5:O208)</f>
        <v>146</v>
      </c>
      <c r="Q208" s="30" t="n">
        <f aca="false">Q207+1</f>
        <v>46489</v>
      </c>
      <c r="R208" s="31" t="n">
        <f aca="false">INDEX($B$27:$H$27,WEEKDAY(Q208,2))</f>
        <v>1</v>
      </c>
      <c r="S208" s="31" t="n">
        <f aca="false">SUM(R$5:R208)</f>
        <v>146</v>
      </c>
    </row>
    <row r="209" customFormat="false" ht="15" hidden="false" customHeight="false" outlineLevel="0" collapsed="false">
      <c r="K209" s="30" t="n">
        <f aca="false">K208+1</f>
        <v>46490</v>
      </c>
      <c r="L209" s="31" t="n">
        <f aca="false">INDEX($B$7:$H$7,WEEKDAY(K209,2))</f>
        <v>1</v>
      </c>
      <c r="M209" s="31" t="n">
        <f aca="false">SUM(L$5:L209)</f>
        <v>147</v>
      </c>
      <c r="N209" s="30" t="n">
        <f aca="false">N208+1</f>
        <v>46490</v>
      </c>
      <c r="O209" s="31" t="n">
        <f aca="false">INDEX($B$17:$H$17,WEEKDAY(N209,2))</f>
        <v>1</v>
      </c>
      <c r="P209" s="31" t="n">
        <f aca="false">SUM(O$5:O209)</f>
        <v>147</v>
      </c>
      <c r="Q209" s="30" t="n">
        <f aca="false">Q208+1</f>
        <v>46490</v>
      </c>
      <c r="R209" s="31" t="n">
        <f aca="false">INDEX($B$27:$H$27,WEEKDAY(Q209,2))</f>
        <v>1</v>
      </c>
      <c r="S209" s="31" t="n">
        <f aca="false">SUM(R$5:R209)</f>
        <v>147</v>
      </c>
    </row>
    <row r="210" customFormat="false" ht="15" hidden="false" customHeight="false" outlineLevel="0" collapsed="false">
      <c r="K210" s="30" t="n">
        <f aca="false">K209+1</f>
        <v>46491</v>
      </c>
      <c r="L210" s="31" t="n">
        <f aca="false">INDEX($B$7:$H$7,WEEKDAY(K210,2))</f>
        <v>1</v>
      </c>
      <c r="M210" s="31" t="n">
        <f aca="false">SUM(L$5:L210)</f>
        <v>148</v>
      </c>
      <c r="N210" s="30" t="n">
        <f aca="false">N209+1</f>
        <v>46491</v>
      </c>
      <c r="O210" s="31" t="n">
        <f aca="false">INDEX($B$17:$H$17,WEEKDAY(N210,2))</f>
        <v>1</v>
      </c>
      <c r="P210" s="31" t="n">
        <f aca="false">SUM(O$5:O210)</f>
        <v>148</v>
      </c>
      <c r="Q210" s="30" t="n">
        <f aca="false">Q209+1</f>
        <v>46491</v>
      </c>
      <c r="R210" s="31" t="n">
        <f aca="false">INDEX($B$27:$H$27,WEEKDAY(Q210,2))</f>
        <v>1</v>
      </c>
      <c r="S210" s="31" t="n">
        <f aca="false">SUM(R$5:R210)</f>
        <v>148</v>
      </c>
    </row>
    <row r="211" customFormat="false" ht="15" hidden="false" customHeight="false" outlineLevel="0" collapsed="false">
      <c r="K211" s="30" t="n">
        <f aca="false">K210+1</f>
        <v>46492</v>
      </c>
      <c r="L211" s="31" t="n">
        <f aca="false">INDEX($B$7:$H$7,WEEKDAY(K211,2))</f>
        <v>1</v>
      </c>
      <c r="M211" s="31" t="n">
        <f aca="false">SUM(L$5:L211)</f>
        <v>149</v>
      </c>
      <c r="N211" s="30" t="n">
        <f aca="false">N210+1</f>
        <v>46492</v>
      </c>
      <c r="O211" s="31" t="n">
        <f aca="false">INDEX($B$17:$H$17,WEEKDAY(N211,2))</f>
        <v>1</v>
      </c>
      <c r="P211" s="31" t="n">
        <f aca="false">SUM(O$5:O211)</f>
        <v>149</v>
      </c>
      <c r="Q211" s="30" t="n">
        <f aca="false">Q210+1</f>
        <v>46492</v>
      </c>
      <c r="R211" s="31" t="n">
        <f aca="false">INDEX($B$27:$H$27,WEEKDAY(Q211,2))</f>
        <v>1</v>
      </c>
      <c r="S211" s="31" t="n">
        <f aca="false">SUM(R$5:R211)</f>
        <v>149</v>
      </c>
    </row>
    <row r="212" customFormat="false" ht="15" hidden="false" customHeight="false" outlineLevel="0" collapsed="false">
      <c r="K212" s="30" t="n">
        <f aca="false">K211+1</f>
        <v>46493</v>
      </c>
      <c r="L212" s="31" t="n">
        <f aca="false">INDEX($B$7:$H$7,WEEKDAY(K212,2))</f>
        <v>1</v>
      </c>
      <c r="M212" s="31" t="n">
        <f aca="false">SUM(L$5:L212)</f>
        <v>150</v>
      </c>
      <c r="N212" s="30" t="n">
        <f aca="false">N211+1</f>
        <v>46493</v>
      </c>
      <c r="O212" s="31" t="n">
        <f aca="false">INDEX($B$17:$H$17,WEEKDAY(N212,2))</f>
        <v>1</v>
      </c>
      <c r="P212" s="31" t="n">
        <f aca="false">SUM(O$5:O212)</f>
        <v>150</v>
      </c>
      <c r="Q212" s="30" t="n">
        <f aca="false">Q211+1</f>
        <v>46493</v>
      </c>
      <c r="R212" s="31" t="n">
        <f aca="false">INDEX($B$27:$H$27,WEEKDAY(Q212,2))</f>
        <v>1</v>
      </c>
      <c r="S212" s="31" t="n">
        <f aca="false">SUM(R$5:R212)</f>
        <v>150</v>
      </c>
    </row>
    <row r="213" customFormat="false" ht="15" hidden="false" customHeight="false" outlineLevel="0" collapsed="false">
      <c r="K213" s="30" t="n">
        <f aca="false">K212+1</f>
        <v>46494</v>
      </c>
      <c r="L213" s="31" t="n">
        <f aca="false">INDEX($B$7:$H$7,WEEKDAY(K213,2))</f>
        <v>0</v>
      </c>
      <c r="M213" s="31" t="n">
        <f aca="false">SUM(L$5:L213)</f>
        <v>150</v>
      </c>
      <c r="N213" s="30" t="n">
        <f aca="false">N212+1</f>
        <v>46494</v>
      </c>
      <c r="O213" s="31" t="n">
        <f aca="false">INDEX($B$17:$H$17,WEEKDAY(N213,2))</f>
        <v>0</v>
      </c>
      <c r="P213" s="31" t="n">
        <f aca="false">SUM(O$5:O213)</f>
        <v>150</v>
      </c>
      <c r="Q213" s="30" t="n">
        <f aca="false">Q212+1</f>
        <v>46494</v>
      </c>
      <c r="R213" s="31" t="n">
        <f aca="false">INDEX($B$27:$H$27,WEEKDAY(Q213,2))</f>
        <v>0</v>
      </c>
      <c r="S213" s="31" t="n">
        <f aca="false">SUM(R$5:R213)</f>
        <v>150</v>
      </c>
    </row>
    <row r="214" customFormat="false" ht="15" hidden="false" customHeight="false" outlineLevel="0" collapsed="false">
      <c r="K214" s="30" t="n">
        <f aca="false">K213+1</f>
        <v>46495</v>
      </c>
      <c r="L214" s="31" t="n">
        <f aca="false">INDEX($B$7:$H$7,WEEKDAY(K214,2))</f>
        <v>0</v>
      </c>
      <c r="M214" s="31" t="n">
        <f aca="false">SUM(L$5:L214)</f>
        <v>150</v>
      </c>
      <c r="N214" s="30" t="n">
        <f aca="false">N213+1</f>
        <v>46495</v>
      </c>
      <c r="O214" s="31" t="n">
        <f aca="false">INDEX($B$17:$H$17,WEEKDAY(N214,2))</f>
        <v>0</v>
      </c>
      <c r="P214" s="31" t="n">
        <f aca="false">SUM(O$5:O214)</f>
        <v>150</v>
      </c>
      <c r="Q214" s="30" t="n">
        <f aca="false">Q213+1</f>
        <v>46495</v>
      </c>
      <c r="R214" s="31" t="n">
        <f aca="false">INDEX($B$27:$H$27,WEEKDAY(Q214,2))</f>
        <v>0</v>
      </c>
      <c r="S214" s="31" t="n">
        <f aca="false">SUM(R$5:R214)</f>
        <v>150</v>
      </c>
    </row>
    <row r="215" customFormat="false" ht="15" hidden="false" customHeight="false" outlineLevel="0" collapsed="false">
      <c r="K215" s="30" t="n">
        <f aca="false">K214+1</f>
        <v>46496</v>
      </c>
      <c r="L215" s="31" t="n">
        <f aca="false">INDEX($B$7:$H$7,WEEKDAY(K215,2))</f>
        <v>1</v>
      </c>
      <c r="M215" s="31" t="n">
        <f aca="false">SUM(L$5:L215)</f>
        <v>151</v>
      </c>
      <c r="N215" s="30" t="n">
        <f aca="false">N214+1</f>
        <v>46496</v>
      </c>
      <c r="O215" s="31" t="n">
        <f aca="false">INDEX($B$17:$H$17,WEEKDAY(N215,2))</f>
        <v>1</v>
      </c>
      <c r="P215" s="31" t="n">
        <f aca="false">SUM(O$5:O215)</f>
        <v>151</v>
      </c>
      <c r="Q215" s="30" t="n">
        <f aca="false">Q214+1</f>
        <v>46496</v>
      </c>
      <c r="R215" s="31" t="n">
        <f aca="false">INDEX($B$27:$H$27,WEEKDAY(Q215,2))</f>
        <v>1</v>
      </c>
      <c r="S215" s="31" t="n">
        <f aca="false">SUM(R$5:R215)</f>
        <v>151</v>
      </c>
    </row>
    <row r="216" customFormat="false" ht="15" hidden="false" customHeight="false" outlineLevel="0" collapsed="false">
      <c r="K216" s="30" t="n">
        <f aca="false">K215+1</f>
        <v>46497</v>
      </c>
      <c r="L216" s="31" t="n">
        <f aca="false">INDEX($B$7:$H$7,WEEKDAY(K216,2))</f>
        <v>1</v>
      </c>
      <c r="M216" s="31" t="n">
        <f aca="false">SUM(L$5:L216)</f>
        <v>152</v>
      </c>
      <c r="N216" s="30" t="n">
        <f aca="false">N215+1</f>
        <v>46497</v>
      </c>
      <c r="O216" s="31" t="n">
        <f aca="false">INDEX($B$17:$H$17,WEEKDAY(N216,2))</f>
        <v>1</v>
      </c>
      <c r="P216" s="31" t="n">
        <f aca="false">SUM(O$5:O216)</f>
        <v>152</v>
      </c>
      <c r="Q216" s="30" t="n">
        <f aca="false">Q215+1</f>
        <v>46497</v>
      </c>
      <c r="R216" s="31" t="n">
        <f aca="false">INDEX($B$27:$H$27,WEEKDAY(Q216,2))</f>
        <v>1</v>
      </c>
      <c r="S216" s="31" t="n">
        <f aca="false">SUM(R$5:R216)</f>
        <v>152</v>
      </c>
    </row>
    <row r="217" customFormat="false" ht="15" hidden="false" customHeight="false" outlineLevel="0" collapsed="false">
      <c r="K217" s="30" t="n">
        <f aca="false">K216+1</f>
        <v>46498</v>
      </c>
      <c r="L217" s="31" t="n">
        <f aca="false">INDEX($B$7:$H$7,WEEKDAY(K217,2))</f>
        <v>1</v>
      </c>
      <c r="M217" s="31" t="n">
        <f aca="false">SUM(L$5:L217)</f>
        <v>153</v>
      </c>
      <c r="N217" s="30" t="n">
        <f aca="false">N216+1</f>
        <v>46498</v>
      </c>
      <c r="O217" s="31" t="n">
        <f aca="false">INDEX($B$17:$H$17,WEEKDAY(N217,2))</f>
        <v>1</v>
      </c>
      <c r="P217" s="31" t="n">
        <f aca="false">SUM(O$5:O217)</f>
        <v>153</v>
      </c>
      <c r="Q217" s="30" t="n">
        <f aca="false">Q216+1</f>
        <v>46498</v>
      </c>
      <c r="R217" s="31" t="n">
        <f aca="false">INDEX($B$27:$H$27,WEEKDAY(Q217,2))</f>
        <v>1</v>
      </c>
      <c r="S217" s="31" t="n">
        <f aca="false">SUM(R$5:R217)</f>
        <v>153</v>
      </c>
    </row>
    <row r="218" customFormat="false" ht="15" hidden="false" customHeight="false" outlineLevel="0" collapsed="false">
      <c r="K218" s="30" t="n">
        <f aca="false">K217+1</f>
        <v>46499</v>
      </c>
      <c r="L218" s="31" t="n">
        <f aca="false">INDEX($B$7:$H$7,WEEKDAY(K218,2))</f>
        <v>1</v>
      </c>
      <c r="M218" s="31" t="n">
        <f aca="false">SUM(L$5:L218)</f>
        <v>154</v>
      </c>
      <c r="N218" s="30" t="n">
        <f aca="false">N217+1</f>
        <v>46499</v>
      </c>
      <c r="O218" s="31" t="n">
        <f aca="false">INDEX($B$17:$H$17,WEEKDAY(N218,2))</f>
        <v>1</v>
      </c>
      <c r="P218" s="31" t="n">
        <f aca="false">SUM(O$5:O218)</f>
        <v>154</v>
      </c>
      <c r="Q218" s="30" t="n">
        <f aca="false">Q217+1</f>
        <v>46499</v>
      </c>
      <c r="R218" s="31" t="n">
        <f aca="false">INDEX($B$27:$H$27,WEEKDAY(Q218,2))</f>
        <v>1</v>
      </c>
      <c r="S218" s="31" t="n">
        <f aca="false">SUM(R$5:R218)</f>
        <v>154</v>
      </c>
    </row>
    <row r="219" customFormat="false" ht="15" hidden="false" customHeight="false" outlineLevel="0" collapsed="false">
      <c r="K219" s="30" t="n">
        <f aca="false">K218+1</f>
        <v>46500</v>
      </c>
      <c r="L219" s="31" t="n">
        <f aca="false">INDEX($B$7:$H$7,WEEKDAY(K219,2))</f>
        <v>1</v>
      </c>
      <c r="M219" s="31" t="n">
        <f aca="false">SUM(L$5:L219)</f>
        <v>155</v>
      </c>
      <c r="N219" s="30" t="n">
        <f aca="false">N218+1</f>
        <v>46500</v>
      </c>
      <c r="O219" s="31" t="n">
        <f aca="false">INDEX($B$17:$H$17,WEEKDAY(N219,2))</f>
        <v>1</v>
      </c>
      <c r="P219" s="31" t="n">
        <f aca="false">SUM(O$5:O219)</f>
        <v>155</v>
      </c>
      <c r="Q219" s="30" t="n">
        <f aca="false">Q218+1</f>
        <v>46500</v>
      </c>
      <c r="R219" s="31" t="n">
        <f aca="false">INDEX($B$27:$H$27,WEEKDAY(Q219,2))</f>
        <v>1</v>
      </c>
      <c r="S219" s="31" t="n">
        <f aca="false">SUM(R$5:R219)</f>
        <v>155</v>
      </c>
    </row>
    <row r="220" customFormat="false" ht="15" hidden="false" customHeight="false" outlineLevel="0" collapsed="false">
      <c r="K220" s="30" t="n">
        <f aca="false">K219+1</f>
        <v>46501</v>
      </c>
      <c r="L220" s="31" t="n">
        <f aca="false">INDEX($B$7:$H$7,WEEKDAY(K220,2))</f>
        <v>0</v>
      </c>
      <c r="M220" s="31" t="n">
        <f aca="false">SUM(L$5:L220)</f>
        <v>155</v>
      </c>
      <c r="N220" s="30" t="n">
        <f aca="false">N219+1</f>
        <v>46501</v>
      </c>
      <c r="O220" s="31" t="n">
        <f aca="false">INDEX($B$17:$H$17,WEEKDAY(N220,2))</f>
        <v>0</v>
      </c>
      <c r="P220" s="31" t="n">
        <f aca="false">SUM(O$5:O220)</f>
        <v>155</v>
      </c>
      <c r="Q220" s="30" t="n">
        <f aca="false">Q219+1</f>
        <v>46501</v>
      </c>
      <c r="R220" s="31" t="n">
        <f aca="false">INDEX($B$27:$H$27,WEEKDAY(Q220,2))</f>
        <v>0</v>
      </c>
      <c r="S220" s="31" t="n">
        <f aca="false">SUM(R$5:R220)</f>
        <v>155</v>
      </c>
    </row>
    <row r="221" customFormat="false" ht="15" hidden="false" customHeight="false" outlineLevel="0" collapsed="false">
      <c r="K221" s="30" t="n">
        <f aca="false">K220+1</f>
        <v>46502</v>
      </c>
      <c r="L221" s="31" t="n">
        <f aca="false">INDEX($B$7:$H$7,WEEKDAY(K221,2))</f>
        <v>0</v>
      </c>
      <c r="M221" s="31" t="n">
        <f aca="false">SUM(L$5:L221)</f>
        <v>155</v>
      </c>
      <c r="N221" s="30" t="n">
        <f aca="false">N220+1</f>
        <v>46502</v>
      </c>
      <c r="O221" s="31" t="n">
        <f aca="false">INDEX($B$17:$H$17,WEEKDAY(N221,2))</f>
        <v>0</v>
      </c>
      <c r="P221" s="31" t="n">
        <f aca="false">SUM(O$5:O221)</f>
        <v>155</v>
      </c>
      <c r="Q221" s="30" t="n">
        <f aca="false">Q220+1</f>
        <v>46502</v>
      </c>
      <c r="R221" s="31" t="n">
        <f aca="false">INDEX($B$27:$H$27,WEEKDAY(Q221,2))</f>
        <v>0</v>
      </c>
      <c r="S221" s="31" t="n">
        <f aca="false">SUM(R$5:R221)</f>
        <v>155</v>
      </c>
    </row>
    <row r="222" customFormat="false" ht="15" hidden="false" customHeight="false" outlineLevel="0" collapsed="false">
      <c r="K222" s="30" t="n">
        <f aca="false">K221+1</f>
        <v>46503</v>
      </c>
      <c r="L222" s="31" t="n">
        <f aca="false">INDEX($B$7:$H$7,WEEKDAY(K222,2))</f>
        <v>1</v>
      </c>
      <c r="M222" s="31" t="n">
        <f aca="false">SUM(L$5:L222)</f>
        <v>156</v>
      </c>
      <c r="N222" s="30" t="n">
        <f aca="false">N221+1</f>
        <v>46503</v>
      </c>
      <c r="O222" s="31" t="n">
        <f aca="false">INDEX($B$17:$H$17,WEEKDAY(N222,2))</f>
        <v>1</v>
      </c>
      <c r="P222" s="31" t="n">
        <f aca="false">SUM(O$5:O222)</f>
        <v>156</v>
      </c>
      <c r="Q222" s="30" t="n">
        <f aca="false">Q221+1</f>
        <v>46503</v>
      </c>
      <c r="R222" s="31" t="n">
        <f aca="false">INDEX($B$27:$H$27,WEEKDAY(Q222,2))</f>
        <v>1</v>
      </c>
      <c r="S222" s="31" t="n">
        <f aca="false">SUM(R$5:R222)</f>
        <v>156</v>
      </c>
    </row>
    <row r="223" customFormat="false" ht="15" hidden="false" customHeight="false" outlineLevel="0" collapsed="false">
      <c r="K223" s="30" t="n">
        <f aca="false">K222+1</f>
        <v>46504</v>
      </c>
      <c r="L223" s="31" t="n">
        <f aca="false">INDEX($B$7:$H$7,WEEKDAY(K223,2))</f>
        <v>1</v>
      </c>
      <c r="M223" s="31" t="n">
        <f aca="false">SUM(L$5:L223)</f>
        <v>157</v>
      </c>
      <c r="N223" s="30" t="n">
        <f aca="false">N222+1</f>
        <v>46504</v>
      </c>
      <c r="O223" s="31" t="n">
        <f aca="false">INDEX($B$17:$H$17,WEEKDAY(N223,2))</f>
        <v>1</v>
      </c>
      <c r="P223" s="31" t="n">
        <f aca="false">SUM(O$5:O223)</f>
        <v>157</v>
      </c>
      <c r="Q223" s="30" t="n">
        <f aca="false">Q222+1</f>
        <v>46504</v>
      </c>
      <c r="R223" s="31" t="n">
        <f aca="false">INDEX($B$27:$H$27,WEEKDAY(Q223,2))</f>
        <v>1</v>
      </c>
      <c r="S223" s="31" t="n">
        <f aca="false">SUM(R$5:R223)</f>
        <v>157</v>
      </c>
    </row>
    <row r="224" customFormat="false" ht="15" hidden="false" customHeight="false" outlineLevel="0" collapsed="false">
      <c r="K224" s="30" t="n">
        <f aca="false">K223+1</f>
        <v>46505</v>
      </c>
      <c r="L224" s="31" t="n">
        <f aca="false">INDEX($B$7:$H$7,WEEKDAY(K224,2))</f>
        <v>1</v>
      </c>
      <c r="M224" s="31" t="n">
        <f aca="false">SUM(L$5:L224)</f>
        <v>158</v>
      </c>
      <c r="N224" s="30" t="n">
        <f aca="false">N223+1</f>
        <v>46505</v>
      </c>
      <c r="O224" s="31" t="n">
        <f aca="false">INDEX($B$17:$H$17,WEEKDAY(N224,2))</f>
        <v>1</v>
      </c>
      <c r="P224" s="31" t="n">
        <f aca="false">SUM(O$5:O224)</f>
        <v>158</v>
      </c>
      <c r="Q224" s="30" t="n">
        <f aca="false">Q223+1</f>
        <v>46505</v>
      </c>
      <c r="R224" s="31" t="n">
        <f aca="false">INDEX($B$27:$H$27,WEEKDAY(Q224,2))</f>
        <v>1</v>
      </c>
      <c r="S224" s="31" t="n">
        <f aca="false">SUM(R$5:R224)</f>
        <v>158</v>
      </c>
    </row>
    <row r="225" customFormat="false" ht="15" hidden="false" customHeight="false" outlineLevel="0" collapsed="false">
      <c r="K225" s="30" t="n">
        <f aca="false">K224+1</f>
        <v>46506</v>
      </c>
      <c r="L225" s="31" t="n">
        <f aca="false">INDEX($B$7:$H$7,WEEKDAY(K225,2))</f>
        <v>1</v>
      </c>
      <c r="M225" s="31" t="n">
        <f aca="false">SUM(L$5:L225)</f>
        <v>159</v>
      </c>
      <c r="N225" s="30" t="n">
        <f aca="false">N224+1</f>
        <v>46506</v>
      </c>
      <c r="O225" s="31" t="n">
        <f aca="false">INDEX($B$17:$H$17,WEEKDAY(N225,2))</f>
        <v>1</v>
      </c>
      <c r="P225" s="31" t="n">
        <f aca="false">SUM(O$5:O225)</f>
        <v>159</v>
      </c>
      <c r="Q225" s="30" t="n">
        <f aca="false">Q224+1</f>
        <v>46506</v>
      </c>
      <c r="R225" s="31" t="n">
        <f aca="false">INDEX($B$27:$H$27,WEEKDAY(Q225,2))</f>
        <v>1</v>
      </c>
      <c r="S225" s="31" t="n">
        <f aca="false">SUM(R$5:R225)</f>
        <v>159</v>
      </c>
    </row>
    <row r="226" customFormat="false" ht="15" hidden="false" customHeight="false" outlineLevel="0" collapsed="false">
      <c r="K226" s="30" t="n">
        <f aca="false">K225+1</f>
        <v>46507</v>
      </c>
      <c r="L226" s="31" t="n">
        <f aca="false">INDEX($B$7:$H$7,WEEKDAY(K226,2))</f>
        <v>1</v>
      </c>
      <c r="M226" s="31" t="n">
        <f aca="false">SUM(L$5:L226)</f>
        <v>160</v>
      </c>
      <c r="N226" s="30" t="n">
        <f aca="false">N225+1</f>
        <v>46507</v>
      </c>
      <c r="O226" s="31" t="n">
        <f aca="false">INDEX($B$17:$H$17,WEEKDAY(N226,2))</f>
        <v>1</v>
      </c>
      <c r="P226" s="31" t="n">
        <f aca="false">SUM(O$5:O226)</f>
        <v>160</v>
      </c>
      <c r="Q226" s="30" t="n">
        <f aca="false">Q225+1</f>
        <v>46507</v>
      </c>
      <c r="R226" s="31" t="n">
        <f aca="false">INDEX($B$27:$H$27,WEEKDAY(Q226,2))</f>
        <v>1</v>
      </c>
      <c r="S226" s="31" t="n">
        <f aca="false">SUM(R$5:R226)</f>
        <v>160</v>
      </c>
    </row>
    <row r="227" customFormat="false" ht="15" hidden="false" customHeight="false" outlineLevel="0" collapsed="false">
      <c r="K227" s="30" t="n">
        <f aca="false">K226+1</f>
        <v>46508</v>
      </c>
      <c r="L227" s="31" t="n">
        <f aca="false">INDEX($B$7:$H$7,WEEKDAY(K227,2))</f>
        <v>0</v>
      </c>
      <c r="M227" s="31" t="n">
        <f aca="false">SUM(L$5:L227)</f>
        <v>160</v>
      </c>
      <c r="N227" s="30" t="n">
        <f aca="false">N226+1</f>
        <v>46508</v>
      </c>
      <c r="O227" s="31" t="n">
        <f aca="false">INDEX($B$17:$H$17,WEEKDAY(N227,2))</f>
        <v>0</v>
      </c>
      <c r="P227" s="31" t="n">
        <f aca="false">SUM(O$5:O227)</f>
        <v>160</v>
      </c>
      <c r="Q227" s="30" t="n">
        <f aca="false">Q226+1</f>
        <v>46508</v>
      </c>
      <c r="R227" s="31" t="n">
        <f aca="false">INDEX($B$27:$H$27,WEEKDAY(Q227,2))</f>
        <v>0</v>
      </c>
      <c r="S227" s="31" t="n">
        <f aca="false">SUM(R$5:R227)</f>
        <v>160</v>
      </c>
    </row>
    <row r="228" customFormat="false" ht="15" hidden="false" customHeight="false" outlineLevel="0" collapsed="false">
      <c r="K228" s="30" t="n">
        <f aca="false">K227+1</f>
        <v>46509</v>
      </c>
      <c r="L228" s="31" t="n">
        <f aca="false">INDEX($B$7:$H$7,WEEKDAY(K228,2))</f>
        <v>0</v>
      </c>
      <c r="M228" s="31" t="n">
        <f aca="false">SUM(L$5:L228)</f>
        <v>160</v>
      </c>
      <c r="N228" s="30" t="n">
        <f aca="false">N227+1</f>
        <v>46509</v>
      </c>
      <c r="O228" s="31" t="n">
        <f aca="false">INDEX($B$17:$H$17,WEEKDAY(N228,2))</f>
        <v>0</v>
      </c>
      <c r="P228" s="31" t="n">
        <f aca="false">SUM(O$5:O228)</f>
        <v>160</v>
      </c>
      <c r="Q228" s="30" t="n">
        <f aca="false">Q227+1</f>
        <v>46509</v>
      </c>
      <c r="R228" s="31" t="n">
        <f aca="false">INDEX($B$27:$H$27,WEEKDAY(Q228,2))</f>
        <v>0</v>
      </c>
      <c r="S228" s="31" t="n">
        <f aca="false">SUM(R$5:R228)</f>
        <v>160</v>
      </c>
    </row>
    <row r="229" customFormat="false" ht="15" hidden="false" customHeight="false" outlineLevel="0" collapsed="false">
      <c r="K229" s="30" t="n">
        <f aca="false">K228+1</f>
        <v>46510</v>
      </c>
      <c r="L229" s="31" t="n">
        <f aca="false">INDEX($B$7:$H$7,WEEKDAY(K229,2))</f>
        <v>1</v>
      </c>
      <c r="M229" s="31" t="n">
        <f aca="false">SUM(L$5:L229)</f>
        <v>161</v>
      </c>
      <c r="N229" s="30" t="n">
        <f aca="false">N228+1</f>
        <v>46510</v>
      </c>
      <c r="O229" s="31" t="n">
        <f aca="false">INDEX($B$17:$H$17,WEEKDAY(N229,2))</f>
        <v>1</v>
      </c>
      <c r="P229" s="31" t="n">
        <f aca="false">SUM(O$5:O229)</f>
        <v>161</v>
      </c>
      <c r="Q229" s="30" t="n">
        <f aca="false">Q228+1</f>
        <v>46510</v>
      </c>
      <c r="R229" s="31" t="n">
        <f aca="false">INDEX($B$27:$H$27,WEEKDAY(Q229,2))</f>
        <v>1</v>
      </c>
      <c r="S229" s="31" t="n">
        <f aca="false">SUM(R$5:R229)</f>
        <v>161</v>
      </c>
    </row>
    <row r="230" customFormat="false" ht="15" hidden="false" customHeight="false" outlineLevel="0" collapsed="false">
      <c r="K230" s="30" t="n">
        <f aca="false">K229+1</f>
        <v>46511</v>
      </c>
      <c r="L230" s="31" t="n">
        <f aca="false">INDEX($B$7:$H$7,WEEKDAY(K230,2))</f>
        <v>1</v>
      </c>
      <c r="M230" s="31" t="n">
        <f aca="false">SUM(L$5:L230)</f>
        <v>162</v>
      </c>
      <c r="N230" s="30" t="n">
        <f aca="false">N229+1</f>
        <v>46511</v>
      </c>
      <c r="O230" s="31" t="n">
        <f aca="false">INDEX($B$17:$H$17,WEEKDAY(N230,2))</f>
        <v>1</v>
      </c>
      <c r="P230" s="31" t="n">
        <f aca="false">SUM(O$5:O230)</f>
        <v>162</v>
      </c>
      <c r="Q230" s="30" t="n">
        <f aca="false">Q229+1</f>
        <v>46511</v>
      </c>
      <c r="R230" s="31" t="n">
        <f aca="false">INDEX($B$27:$H$27,WEEKDAY(Q230,2))</f>
        <v>1</v>
      </c>
      <c r="S230" s="31" t="n">
        <f aca="false">SUM(R$5:R230)</f>
        <v>162</v>
      </c>
    </row>
    <row r="231" customFormat="false" ht="15" hidden="false" customHeight="false" outlineLevel="0" collapsed="false">
      <c r="K231" s="30" t="n">
        <f aca="false">K230+1</f>
        <v>46512</v>
      </c>
      <c r="L231" s="31" t="n">
        <f aca="false">INDEX($B$7:$H$7,WEEKDAY(K231,2))</f>
        <v>1</v>
      </c>
      <c r="M231" s="31" t="n">
        <f aca="false">SUM(L$5:L231)</f>
        <v>163</v>
      </c>
      <c r="N231" s="30" t="n">
        <f aca="false">N230+1</f>
        <v>46512</v>
      </c>
      <c r="O231" s="31" t="n">
        <f aca="false">INDEX($B$17:$H$17,WEEKDAY(N231,2))</f>
        <v>1</v>
      </c>
      <c r="P231" s="31" t="n">
        <f aca="false">SUM(O$5:O231)</f>
        <v>163</v>
      </c>
      <c r="Q231" s="30" t="n">
        <f aca="false">Q230+1</f>
        <v>46512</v>
      </c>
      <c r="R231" s="31" t="n">
        <f aca="false">INDEX($B$27:$H$27,WEEKDAY(Q231,2))</f>
        <v>1</v>
      </c>
      <c r="S231" s="31" t="n">
        <f aca="false">SUM(R$5:R231)</f>
        <v>163</v>
      </c>
    </row>
    <row r="232" customFormat="false" ht="15" hidden="false" customHeight="false" outlineLevel="0" collapsed="false">
      <c r="K232" s="30" t="n">
        <f aca="false">K231+1</f>
        <v>46513</v>
      </c>
      <c r="L232" s="31" t="n">
        <f aca="false">INDEX($B$7:$H$7,WEEKDAY(K232,2))</f>
        <v>1</v>
      </c>
      <c r="M232" s="31" t="n">
        <f aca="false">SUM(L$5:L232)</f>
        <v>164</v>
      </c>
      <c r="N232" s="30" t="n">
        <f aca="false">N231+1</f>
        <v>46513</v>
      </c>
      <c r="O232" s="31" t="n">
        <f aca="false">INDEX($B$17:$H$17,WEEKDAY(N232,2))</f>
        <v>1</v>
      </c>
      <c r="P232" s="31" t="n">
        <f aca="false">SUM(O$5:O232)</f>
        <v>164</v>
      </c>
      <c r="Q232" s="30" t="n">
        <f aca="false">Q231+1</f>
        <v>46513</v>
      </c>
      <c r="R232" s="31" t="n">
        <f aca="false">INDEX($B$27:$H$27,WEEKDAY(Q232,2))</f>
        <v>1</v>
      </c>
      <c r="S232" s="31" t="n">
        <f aca="false">SUM(R$5:R232)</f>
        <v>164</v>
      </c>
    </row>
    <row r="233" customFormat="false" ht="15" hidden="false" customHeight="false" outlineLevel="0" collapsed="false">
      <c r="K233" s="30" t="n">
        <f aca="false">K232+1</f>
        <v>46514</v>
      </c>
      <c r="L233" s="31" t="n">
        <f aca="false">INDEX($B$7:$H$7,WEEKDAY(K233,2))</f>
        <v>1</v>
      </c>
      <c r="M233" s="31" t="n">
        <f aca="false">SUM(L$5:L233)</f>
        <v>165</v>
      </c>
      <c r="N233" s="30" t="n">
        <f aca="false">N232+1</f>
        <v>46514</v>
      </c>
      <c r="O233" s="31" t="n">
        <f aca="false">INDEX($B$17:$H$17,WEEKDAY(N233,2))</f>
        <v>1</v>
      </c>
      <c r="P233" s="31" t="n">
        <f aca="false">SUM(O$5:O233)</f>
        <v>165</v>
      </c>
      <c r="Q233" s="30" t="n">
        <f aca="false">Q232+1</f>
        <v>46514</v>
      </c>
      <c r="R233" s="31" t="n">
        <f aca="false">INDEX($B$27:$H$27,WEEKDAY(Q233,2))</f>
        <v>1</v>
      </c>
      <c r="S233" s="31" t="n">
        <f aca="false">SUM(R$5:R233)</f>
        <v>165</v>
      </c>
    </row>
    <row r="234" customFormat="false" ht="15" hidden="false" customHeight="false" outlineLevel="0" collapsed="false">
      <c r="K234" s="30" t="n">
        <f aca="false">K233+1</f>
        <v>46515</v>
      </c>
      <c r="L234" s="31" t="n">
        <f aca="false">INDEX($B$7:$H$7,WEEKDAY(K234,2))</f>
        <v>0</v>
      </c>
      <c r="M234" s="31" t="n">
        <f aca="false">SUM(L$5:L234)</f>
        <v>165</v>
      </c>
      <c r="N234" s="30" t="n">
        <f aca="false">N233+1</f>
        <v>46515</v>
      </c>
      <c r="O234" s="31" t="n">
        <f aca="false">INDEX($B$17:$H$17,WEEKDAY(N234,2))</f>
        <v>0</v>
      </c>
      <c r="P234" s="31" t="n">
        <f aca="false">SUM(O$5:O234)</f>
        <v>165</v>
      </c>
      <c r="Q234" s="30" t="n">
        <f aca="false">Q233+1</f>
        <v>46515</v>
      </c>
      <c r="R234" s="31" t="n">
        <f aca="false">INDEX($B$27:$H$27,WEEKDAY(Q234,2))</f>
        <v>0</v>
      </c>
      <c r="S234" s="31" t="n">
        <f aca="false">SUM(R$5:R234)</f>
        <v>165</v>
      </c>
    </row>
    <row r="235" customFormat="false" ht="15" hidden="false" customHeight="false" outlineLevel="0" collapsed="false">
      <c r="K235" s="30" t="n">
        <f aca="false">K234+1</f>
        <v>46516</v>
      </c>
      <c r="L235" s="31" t="n">
        <f aca="false">INDEX($B$7:$H$7,WEEKDAY(K235,2))</f>
        <v>0</v>
      </c>
      <c r="M235" s="31" t="n">
        <f aca="false">SUM(L$5:L235)</f>
        <v>165</v>
      </c>
      <c r="N235" s="30" t="n">
        <f aca="false">N234+1</f>
        <v>46516</v>
      </c>
      <c r="O235" s="31" t="n">
        <f aca="false">INDEX($B$17:$H$17,WEEKDAY(N235,2))</f>
        <v>0</v>
      </c>
      <c r="P235" s="31" t="n">
        <f aca="false">SUM(O$5:O235)</f>
        <v>165</v>
      </c>
      <c r="Q235" s="30" t="n">
        <f aca="false">Q234+1</f>
        <v>46516</v>
      </c>
      <c r="R235" s="31" t="n">
        <f aca="false">INDEX($B$27:$H$27,WEEKDAY(Q235,2))</f>
        <v>0</v>
      </c>
      <c r="S235" s="31" t="n">
        <f aca="false">SUM(R$5:R235)</f>
        <v>165</v>
      </c>
    </row>
    <row r="236" customFormat="false" ht="15" hidden="false" customHeight="false" outlineLevel="0" collapsed="false">
      <c r="K236" s="30" t="n">
        <f aca="false">K235+1</f>
        <v>46517</v>
      </c>
      <c r="L236" s="31" t="n">
        <f aca="false">INDEX($B$7:$H$7,WEEKDAY(K236,2))</f>
        <v>1</v>
      </c>
      <c r="M236" s="31" t="n">
        <f aca="false">SUM(L$5:L236)</f>
        <v>166</v>
      </c>
      <c r="N236" s="30" t="n">
        <f aca="false">N235+1</f>
        <v>46517</v>
      </c>
      <c r="O236" s="31" t="n">
        <f aca="false">INDEX($B$17:$H$17,WEEKDAY(N236,2))</f>
        <v>1</v>
      </c>
      <c r="P236" s="31" t="n">
        <f aca="false">SUM(O$5:O236)</f>
        <v>166</v>
      </c>
      <c r="Q236" s="30" t="n">
        <f aca="false">Q235+1</f>
        <v>46517</v>
      </c>
      <c r="R236" s="31" t="n">
        <f aca="false">INDEX($B$27:$H$27,WEEKDAY(Q236,2))</f>
        <v>1</v>
      </c>
      <c r="S236" s="31" t="n">
        <f aca="false">SUM(R$5:R236)</f>
        <v>166</v>
      </c>
    </row>
    <row r="237" customFormat="false" ht="15" hidden="false" customHeight="false" outlineLevel="0" collapsed="false">
      <c r="K237" s="30" t="n">
        <f aca="false">K236+1</f>
        <v>46518</v>
      </c>
      <c r="L237" s="31" t="n">
        <f aca="false">INDEX($B$7:$H$7,WEEKDAY(K237,2))</f>
        <v>1</v>
      </c>
      <c r="M237" s="31" t="n">
        <f aca="false">SUM(L$5:L237)</f>
        <v>167</v>
      </c>
      <c r="N237" s="30" t="n">
        <f aca="false">N236+1</f>
        <v>46518</v>
      </c>
      <c r="O237" s="31" t="n">
        <f aca="false">INDEX($B$17:$H$17,WEEKDAY(N237,2))</f>
        <v>1</v>
      </c>
      <c r="P237" s="31" t="n">
        <f aca="false">SUM(O$5:O237)</f>
        <v>167</v>
      </c>
      <c r="Q237" s="30" t="n">
        <f aca="false">Q236+1</f>
        <v>46518</v>
      </c>
      <c r="R237" s="31" t="n">
        <f aca="false">INDEX($B$27:$H$27,WEEKDAY(Q237,2))</f>
        <v>1</v>
      </c>
      <c r="S237" s="31" t="n">
        <f aca="false">SUM(R$5:R237)</f>
        <v>167</v>
      </c>
    </row>
    <row r="238" customFormat="false" ht="15" hidden="false" customHeight="false" outlineLevel="0" collapsed="false">
      <c r="K238" s="30" t="n">
        <f aca="false">K237+1</f>
        <v>46519</v>
      </c>
      <c r="L238" s="31" t="n">
        <f aca="false">INDEX($B$7:$H$7,WEEKDAY(K238,2))</f>
        <v>1</v>
      </c>
      <c r="M238" s="31" t="n">
        <f aca="false">SUM(L$5:L238)</f>
        <v>168</v>
      </c>
      <c r="N238" s="30" t="n">
        <f aca="false">N237+1</f>
        <v>46519</v>
      </c>
      <c r="O238" s="31" t="n">
        <f aca="false">INDEX($B$17:$H$17,WEEKDAY(N238,2))</f>
        <v>1</v>
      </c>
      <c r="P238" s="31" t="n">
        <f aca="false">SUM(O$5:O238)</f>
        <v>168</v>
      </c>
      <c r="Q238" s="30" t="n">
        <f aca="false">Q237+1</f>
        <v>46519</v>
      </c>
      <c r="R238" s="31" t="n">
        <f aca="false">INDEX($B$27:$H$27,WEEKDAY(Q238,2))</f>
        <v>1</v>
      </c>
      <c r="S238" s="31" t="n">
        <f aca="false">SUM(R$5:R238)</f>
        <v>168</v>
      </c>
    </row>
    <row r="239" customFormat="false" ht="15" hidden="false" customHeight="false" outlineLevel="0" collapsed="false">
      <c r="K239" s="30" t="n">
        <f aca="false">K238+1</f>
        <v>46520</v>
      </c>
      <c r="L239" s="31" t="n">
        <f aca="false">INDEX($B$7:$H$7,WEEKDAY(K239,2))</f>
        <v>1</v>
      </c>
      <c r="M239" s="31" t="n">
        <f aca="false">SUM(L$5:L239)</f>
        <v>169</v>
      </c>
      <c r="N239" s="30" t="n">
        <f aca="false">N238+1</f>
        <v>46520</v>
      </c>
      <c r="O239" s="31" t="n">
        <f aca="false">INDEX($B$17:$H$17,WEEKDAY(N239,2))</f>
        <v>1</v>
      </c>
      <c r="P239" s="31" t="n">
        <f aca="false">SUM(O$5:O239)</f>
        <v>169</v>
      </c>
      <c r="Q239" s="30" t="n">
        <f aca="false">Q238+1</f>
        <v>46520</v>
      </c>
      <c r="R239" s="31" t="n">
        <f aca="false">INDEX($B$27:$H$27,WEEKDAY(Q239,2))</f>
        <v>1</v>
      </c>
      <c r="S239" s="31" t="n">
        <f aca="false">SUM(R$5:R239)</f>
        <v>169</v>
      </c>
    </row>
    <row r="240" customFormat="false" ht="15" hidden="false" customHeight="false" outlineLevel="0" collapsed="false">
      <c r="K240" s="30" t="n">
        <f aca="false">K239+1</f>
        <v>46521</v>
      </c>
      <c r="L240" s="31" t="n">
        <f aca="false">INDEX($B$7:$H$7,WEEKDAY(K240,2))</f>
        <v>1</v>
      </c>
      <c r="M240" s="31" t="n">
        <f aca="false">SUM(L$5:L240)</f>
        <v>170</v>
      </c>
      <c r="N240" s="30" t="n">
        <f aca="false">N239+1</f>
        <v>46521</v>
      </c>
      <c r="O240" s="31" t="n">
        <f aca="false">INDEX($B$17:$H$17,WEEKDAY(N240,2))</f>
        <v>1</v>
      </c>
      <c r="P240" s="31" t="n">
        <f aca="false">SUM(O$5:O240)</f>
        <v>170</v>
      </c>
      <c r="Q240" s="30" t="n">
        <f aca="false">Q239+1</f>
        <v>46521</v>
      </c>
      <c r="R240" s="31" t="n">
        <f aca="false">INDEX($B$27:$H$27,WEEKDAY(Q240,2))</f>
        <v>1</v>
      </c>
      <c r="S240" s="31" t="n">
        <f aca="false">SUM(R$5:R240)</f>
        <v>170</v>
      </c>
    </row>
    <row r="241" customFormat="false" ht="15" hidden="false" customHeight="false" outlineLevel="0" collapsed="false">
      <c r="K241" s="30" t="n">
        <f aca="false">K240+1</f>
        <v>46522</v>
      </c>
      <c r="L241" s="31" t="n">
        <f aca="false">INDEX($B$7:$H$7,WEEKDAY(K241,2))</f>
        <v>0</v>
      </c>
      <c r="M241" s="31" t="n">
        <f aca="false">SUM(L$5:L241)</f>
        <v>170</v>
      </c>
      <c r="N241" s="30" t="n">
        <f aca="false">N240+1</f>
        <v>46522</v>
      </c>
      <c r="O241" s="31" t="n">
        <f aca="false">INDEX($B$17:$H$17,WEEKDAY(N241,2))</f>
        <v>0</v>
      </c>
      <c r="P241" s="31" t="n">
        <f aca="false">SUM(O$5:O241)</f>
        <v>170</v>
      </c>
      <c r="Q241" s="30" t="n">
        <f aca="false">Q240+1</f>
        <v>46522</v>
      </c>
      <c r="R241" s="31" t="n">
        <f aca="false">INDEX($B$27:$H$27,WEEKDAY(Q241,2))</f>
        <v>0</v>
      </c>
      <c r="S241" s="31" t="n">
        <f aca="false">SUM(R$5:R241)</f>
        <v>170</v>
      </c>
    </row>
    <row r="242" customFormat="false" ht="15" hidden="false" customHeight="false" outlineLevel="0" collapsed="false">
      <c r="K242" s="30" t="n">
        <f aca="false">K241+1</f>
        <v>46523</v>
      </c>
      <c r="L242" s="31" t="n">
        <f aca="false">INDEX($B$7:$H$7,WEEKDAY(K242,2))</f>
        <v>0</v>
      </c>
      <c r="M242" s="31" t="n">
        <f aca="false">SUM(L$5:L242)</f>
        <v>170</v>
      </c>
      <c r="N242" s="30" t="n">
        <f aca="false">N241+1</f>
        <v>46523</v>
      </c>
      <c r="O242" s="31" t="n">
        <f aca="false">INDEX($B$17:$H$17,WEEKDAY(N242,2))</f>
        <v>0</v>
      </c>
      <c r="P242" s="31" t="n">
        <f aca="false">SUM(O$5:O242)</f>
        <v>170</v>
      </c>
      <c r="Q242" s="30" t="n">
        <f aca="false">Q241+1</f>
        <v>46523</v>
      </c>
      <c r="R242" s="31" t="n">
        <f aca="false">INDEX($B$27:$H$27,WEEKDAY(Q242,2))</f>
        <v>0</v>
      </c>
      <c r="S242" s="31" t="n">
        <f aca="false">SUM(R$5:R242)</f>
        <v>170</v>
      </c>
    </row>
    <row r="243" customFormat="false" ht="15" hidden="false" customHeight="false" outlineLevel="0" collapsed="false">
      <c r="K243" s="30" t="n">
        <f aca="false">K242+1</f>
        <v>46524</v>
      </c>
      <c r="L243" s="31" t="n">
        <f aca="false">INDEX($B$7:$H$7,WEEKDAY(K243,2))</f>
        <v>1</v>
      </c>
      <c r="M243" s="31" t="n">
        <f aca="false">SUM(L$5:L243)</f>
        <v>171</v>
      </c>
      <c r="N243" s="30" t="n">
        <f aca="false">N242+1</f>
        <v>46524</v>
      </c>
      <c r="O243" s="31" t="n">
        <f aca="false">INDEX($B$17:$H$17,WEEKDAY(N243,2))</f>
        <v>1</v>
      </c>
      <c r="P243" s="31" t="n">
        <f aca="false">SUM(O$5:O243)</f>
        <v>171</v>
      </c>
      <c r="Q243" s="30" t="n">
        <f aca="false">Q242+1</f>
        <v>46524</v>
      </c>
      <c r="R243" s="31" t="n">
        <f aca="false">INDEX($B$27:$H$27,WEEKDAY(Q243,2))</f>
        <v>1</v>
      </c>
      <c r="S243" s="31" t="n">
        <f aca="false">SUM(R$5:R243)</f>
        <v>171</v>
      </c>
    </row>
    <row r="244" customFormat="false" ht="15" hidden="false" customHeight="false" outlineLevel="0" collapsed="false">
      <c r="K244" s="30" t="n">
        <f aca="false">K243+1</f>
        <v>46525</v>
      </c>
      <c r="L244" s="31" t="n">
        <f aca="false">INDEX($B$7:$H$7,WEEKDAY(K244,2))</f>
        <v>1</v>
      </c>
      <c r="M244" s="31" t="n">
        <f aca="false">SUM(L$5:L244)</f>
        <v>172</v>
      </c>
      <c r="N244" s="30" t="n">
        <f aca="false">N243+1</f>
        <v>46525</v>
      </c>
      <c r="O244" s="31" t="n">
        <f aca="false">INDEX($B$17:$H$17,WEEKDAY(N244,2))</f>
        <v>1</v>
      </c>
      <c r="P244" s="31" t="n">
        <f aca="false">SUM(O$5:O244)</f>
        <v>172</v>
      </c>
      <c r="Q244" s="30" t="n">
        <f aca="false">Q243+1</f>
        <v>46525</v>
      </c>
      <c r="R244" s="31" t="n">
        <f aca="false">INDEX($B$27:$H$27,WEEKDAY(Q244,2))</f>
        <v>1</v>
      </c>
      <c r="S244" s="31" t="n">
        <f aca="false">SUM(R$5:R244)</f>
        <v>172</v>
      </c>
    </row>
    <row r="245" customFormat="false" ht="15" hidden="false" customHeight="false" outlineLevel="0" collapsed="false">
      <c r="K245" s="30" t="n">
        <f aca="false">K244+1</f>
        <v>46526</v>
      </c>
      <c r="L245" s="31" t="n">
        <f aca="false">INDEX($B$7:$H$7,WEEKDAY(K245,2))</f>
        <v>1</v>
      </c>
      <c r="M245" s="31" t="n">
        <f aca="false">SUM(L$5:L245)</f>
        <v>173</v>
      </c>
      <c r="N245" s="30" t="n">
        <f aca="false">N244+1</f>
        <v>46526</v>
      </c>
      <c r="O245" s="31" t="n">
        <f aca="false">INDEX($B$17:$H$17,WEEKDAY(N245,2))</f>
        <v>1</v>
      </c>
      <c r="P245" s="31" t="n">
        <f aca="false">SUM(O$5:O245)</f>
        <v>173</v>
      </c>
      <c r="Q245" s="30" t="n">
        <f aca="false">Q244+1</f>
        <v>46526</v>
      </c>
      <c r="R245" s="31" t="n">
        <f aca="false">INDEX($B$27:$H$27,WEEKDAY(Q245,2))</f>
        <v>1</v>
      </c>
      <c r="S245" s="31" t="n">
        <f aca="false">SUM(R$5:R245)</f>
        <v>173</v>
      </c>
    </row>
    <row r="246" customFormat="false" ht="15" hidden="false" customHeight="false" outlineLevel="0" collapsed="false">
      <c r="K246" s="30" t="n">
        <f aca="false">K245+1</f>
        <v>46527</v>
      </c>
      <c r="L246" s="31" t="n">
        <f aca="false">INDEX($B$7:$H$7,WEEKDAY(K246,2))</f>
        <v>1</v>
      </c>
      <c r="M246" s="31" t="n">
        <f aca="false">SUM(L$5:L246)</f>
        <v>174</v>
      </c>
      <c r="N246" s="30" t="n">
        <f aca="false">N245+1</f>
        <v>46527</v>
      </c>
      <c r="O246" s="31" t="n">
        <f aca="false">INDEX($B$17:$H$17,WEEKDAY(N246,2))</f>
        <v>1</v>
      </c>
      <c r="P246" s="31" t="n">
        <f aca="false">SUM(O$5:O246)</f>
        <v>174</v>
      </c>
      <c r="Q246" s="30" t="n">
        <f aca="false">Q245+1</f>
        <v>46527</v>
      </c>
      <c r="R246" s="31" t="n">
        <f aca="false">INDEX($B$27:$H$27,WEEKDAY(Q246,2))</f>
        <v>1</v>
      </c>
      <c r="S246" s="31" t="n">
        <f aca="false">SUM(R$5:R246)</f>
        <v>174</v>
      </c>
    </row>
    <row r="247" customFormat="false" ht="15" hidden="false" customHeight="false" outlineLevel="0" collapsed="false">
      <c r="K247" s="30" t="n">
        <f aca="false">K246+1</f>
        <v>46528</v>
      </c>
      <c r="L247" s="31" t="n">
        <f aca="false">INDEX($B$7:$H$7,WEEKDAY(K247,2))</f>
        <v>1</v>
      </c>
      <c r="M247" s="31" t="n">
        <f aca="false">SUM(L$5:L247)</f>
        <v>175</v>
      </c>
      <c r="N247" s="30" t="n">
        <f aca="false">N246+1</f>
        <v>46528</v>
      </c>
      <c r="O247" s="31" t="n">
        <f aca="false">INDEX($B$17:$H$17,WEEKDAY(N247,2))</f>
        <v>1</v>
      </c>
      <c r="P247" s="31" t="n">
        <f aca="false">SUM(O$5:O247)</f>
        <v>175</v>
      </c>
      <c r="Q247" s="30" t="n">
        <f aca="false">Q246+1</f>
        <v>46528</v>
      </c>
      <c r="R247" s="31" t="n">
        <f aca="false">INDEX($B$27:$H$27,WEEKDAY(Q247,2))</f>
        <v>1</v>
      </c>
      <c r="S247" s="31" t="n">
        <f aca="false">SUM(R$5:R247)</f>
        <v>175</v>
      </c>
    </row>
    <row r="248" customFormat="false" ht="15" hidden="false" customHeight="false" outlineLevel="0" collapsed="false">
      <c r="K248" s="30" t="n">
        <f aca="false">K247+1</f>
        <v>46529</v>
      </c>
      <c r="L248" s="31" t="n">
        <f aca="false">INDEX($B$7:$H$7,WEEKDAY(K248,2))</f>
        <v>0</v>
      </c>
      <c r="M248" s="31" t="n">
        <f aca="false">SUM(L$5:L248)</f>
        <v>175</v>
      </c>
      <c r="N248" s="30" t="n">
        <f aca="false">N247+1</f>
        <v>46529</v>
      </c>
      <c r="O248" s="31" t="n">
        <f aca="false">INDEX($B$17:$H$17,WEEKDAY(N248,2))</f>
        <v>0</v>
      </c>
      <c r="P248" s="31" t="n">
        <f aca="false">SUM(O$5:O248)</f>
        <v>175</v>
      </c>
      <c r="Q248" s="30" t="n">
        <f aca="false">Q247+1</f>
        <v>46529</v>
      </c>
      <c r="R248" s="31" t="n">
        <f aca="false">INDEX($B$27:$H$27,WEEKDAY(Q248,2))</f>
        <v>0</v>
      </c>
      <c r="S248" s="31" t="n">
        <f aca="false">SUM(R$5:R248)</f>
        <v>175</v>
      </c>
    </row>
    <row r="249" customFormat="false" ht="15" hidden="false" customHeight="false" outlineLevel="0" collapsed="false">
      <c r="K249" s="30" t="n">
        <f aca="false">K248+1</f>
        <v>46530</v>
      </c>
      <c r="L249" s="31" t="n">
        <f aca="false">INDEX($B$7:$H$7,WEEKDAY(K249,2))</f>
        <v>0</v>
      </c>
      <c r="M249" s="31" t="n">
        <f aca="false">SUM(L$5:L249)</f>
        <v>175</v>
      </c>
      <c r="N249" s="30" t="n">
        <f aca="false">N248+1</f>
        <v>46530</v>
      </c>
      <c r="O249" s="31" t="n">
        <f aca="false">INDEX($B$17:$H$17,WEEKDAY(N249,2))</f>
        <v>0</v>
      </c>
      <c r="P249" s="31" t="n">
        <f aca="false">SUM(O$5:O249)</f>
        <v>175</v>
      </c>
      <c r="Q249" s="30" t="n">
        <f aca="false">Q248+1</f>
        <v>46530</v>
      </c>
      <c r="R249" s="31" t="n">
        <f aca="false">INDEX($B$27:$H$27,WEEKDAY(Q249,2))</f>
        <v>0</v>
      </c>
      <c r="S249" s="31" t="n">
        <f aca="false">SUM(R$5:R249)</f>
        <v>175</v>
      </c>
    </row>
    <row r="250" customFormat="false" ht="15" hidden="false" customHeight="false" outlineLevel="0" collapsed="false">
      <c r="K250" s="30" t="n">
        <f aca="false">K249+1</f>
        <v>46531</v>
      </c>
      <c r="L250" s="31" t="n">
        <f aca="false">INDEX($B$7:$H$7,WEEKDAY(K250,2))</f>
        <v>1</v>
      </c>
      <c r="M250" s="31" t="n">
        <f aca="false">SUM(L$5:L250)</f>
        <v>176</v>
      </c>
      <c r="N250" s="30" t="n">
        <f aca="false">N249+1</f>
        <v>46531</v>
      </c>
      <c r="O250" s="31" t="n">
        <f aca="false">INDEX($B$17:$H$17,WEEKDAY(N250,2))</f>
        <v>1</v>
      </c>
      <c r="P250" s="31" t="n">
        <f aca="false">SUM(O$5:O250)</f>
        <v>176</v>
      </c>
      <c r="Q250" s="30" t="n">
        <f aca="false">Q249+1</f>
        <v>46531</v>
      </c>
      <c r="R250" s="31" t="n">
        <f aca="false">INDEX($B$27:$H$27,WEEKDAY(Q250,2))</f>
        <v>1</v>
      </c>
      <c r="S250" s="31" t="n">
        <f aca="false">SUM(R$5:R250)</f>
        <v>176</v>
      </c>
    </row>
    <row r="251" customFormat="false" ht="15" hidden="false" customHeight="false" outlineLevel="0" collapsed="false">
      <c r="K251" s="30" t="n">
        <f aca="false">K250+1</f>
        <v>46532</v>
      </c>
      <c r="L251" s="31" t="n">
        <f aca="false">INDEX($B$7:$H$7,WEEKDAY(K251,2))</f>
        <v>1</v>
      </c>
      <c r="M251" s="31" t="n">
        <f aca="false">SUM(L$5:L251)</f>
        <v>177</v>
      </c>
      <c r="N251" s="30" t="n">
        <f aca="false">N250+1</f>
        <v>46532</v>
      </c>
      <c r="O251" s="31" t="n">
        <f aca="false">INDEX($B$17:$H$17,WEEKDAY(N251,2))</f>
        <v>1</v>
      </c>
      <c r="P251" s="31" t="n">
        <f aca="false">SUM(O$5:O251)</f>
        <v>177</v>
      </c>
      <c r="Q251" s="30" t="n">
        <f aca="false">Q250+1</f>
        <v>46532</v>
      </c>
      <c r="R251" s="31" t="n">
        <f aca="false">INDEX($B$27:$H$27,WEEKDAY(Q251,2))</f>
        <v>1</v>
      </c>
      <c r="S251" s="31" t="n">
        <f aca="false">SUM(R$5:R251)</f>
        <v>177</v>
      </c>
    </row>
    <row r="252" customFormat="false" ht="15" hidden="false" customHeight="false" outlineLevel="0" collapsed="false">
      <c r="K252" s="30" t="n">
        <f aca="false">K251+1</f>
        <v>46533</v>
      </c>
      <c r="L252" s="31" t="n">
        <f aca="false">INDEX($B$7:$H$7,WEEKDAY(K252,2))</f>
        <v>1</v>
      </c>
      <c r="M252" s="31" t="n">
        <f aca="false">SUM(L$5:L252)</f>
        <v>178</v>
      </c>
      <c r="N252" s="30" t="n">
        <f aca="false">N251+1</f>
        <v>46533</v>
      </c>
      <c r="O252" s="31" t="n">
        <f aca="false">INDEX($B$17:$H$17,WEEKDAY(N252,2))</f>
        <v>1</v>
      </c>
      <c r="P252" s="31" t="n">
        <f aca="false">SUM(O$5:O252)</f>
        <v>178</v>
      </c>
      <c r="Q252" s="30" t="n">
        <f aca="false">Q251+1</f>
        <v>46533</v>
      </c>
      <c r="R252" s="31" t="n">
        <f aca="false">INDEX($B$27:$H$27,WEEKDAY(Q252,2))</f>
        <v>1</v>
      </c>
      <c r="S252" s="31" t="n">
        <f aca="false">SUM(R$5:R252)</f>
        <v>178</v>
      </c>
    </row>
    <row r="253" customFormat="false" ht="15" hidden="false" customHeight="false" outlineLevel="0" collapsed="false">
      <c r="K253" s="30" t="n">
        <f aca="false">K252+1</f>
        <v>46534</v>
      </c>
      <c r="L253" s="31" t="n">
        <f aca="false">INDEX($B$7:$H$7,WEEKDAY(K253,2))</f>
        <v>1</v>
      </c>
      <c r="M253" s="31" t="n">
        <f aca="false">SUM(L$5:L253)</f>
        <v>179</v>
      </c>
      <c r="N253" s="30" t="n">
        <f aca="false">N252+1</f>
        <v>46534</v>
      </c>
      <c r="O253" s="31" t="n">
        <f aca="false">INDEX($B$17:$H$17,WEEKDAY(N253,2))</f>
        <v>1</v>
      </c>
      <c r="P253" s="31" t="n">
        <f aca="false">SUM(O$5:O253)</f>
        <v>179</v>
      </c>
      <c r="Q253" s="30" t="n">
        <f aca="false">Q252+1</f>
        <v>46534</v>
      </c>
      <c r="R253" s="31" t="n">
        <f aca="false">INDEX($B$27:$H$27,WEEKDAY(Q253,2))</f>
        <v>1</v>
      </c>
      <c r="S253" s="31" t="n">
        <f aca="false">SUM(R$5:R253)</f>
        <v>179</v>
      </c>
    </row>
    <row r="254" customFormat="false" ht="15" hidden="false" customHeight="false" outlineLevel="0" collapsed="false">
      <c r="K254" s="30" t="n">
        <f aca="false">K253+1</f>
        <v>46535</v>
      </c>
      <c r="L254" s="31" t="n">
        <f aca="false">INDEX($B$7:$H$7,WEEKDAY(K254,2))</f>
        <v>1</v>
      </c>
      <c r="M254" s="31" t="n">
        <f aca="false">SUM(L$5:L254)</f>
        <v>180</v>
      </c>
      <c r="N254" s="30" t="n">
        <f aca="false">N253+1</f>
        <v>46535</v>
      </c>
      <c r="O254" s="31" t="n">
        <f aca="false">INDEX($B$17:$H$17,WEEKDAY(N254,2))</f>
        <v>1</v>
      </c>
      <c r="P254" s="31" t="n">
        <f aca="false">SUM(O$5:O254)</f>
        <v>180</v>
      </c>
      <c r="Q254" s="30" t="n">
        <f aca="false">Q253+1</f>
        <v>46535</v>
      </c>
      <c r="R254" s="31" t="n">
        <f aca="false">INDEX($B$27:$H$27,WEEKDAY(Q254,2))</f>
        <v>1</v>
      </c>
      <c r="S254" s="31" t="n">
        <f aca="false">SUM(R$5:R254)</f>
        <v>180</v>
      </c>
    </row>
    <row r="255" customFormat="false" ht="15" hidden="false" customHeight="false" outlineLevel="0" collapsed="false">
      <c r="K255" s="30" t="n">
        <f aca="false">K254+1</f>
        <v>46536</v>
      </c>
      <c r="L255" s="31" t="n">
        <f aca="false">INDEX($B$7:$H$7,WEEKDAY(K255,2))</f>
        <v>0</v>
      </c>
      <c r="M255" s="31" t="n">
        <f aca="false">SUM(L$5:L255)</f>
        <v>180</v>
      </c>
      <c r="N255" s="30" t="n">
        <f aca="false">N254+1</f>
        <v>46536</v>
      </c>
      <c r="O255" s="31" t="n">
        <f aca="false">INDEX($B$17:$H$17,WEEKDAY(N255,2))</f>
        <v>0</v>
      </c>
      <c r="P255" s="31" t="n">
        <f aca="false">SUM(O$5:O255)</f>
        <v>180</v>
      </c>
      <c r="Q255" s="30" t="n">
        <f aca="false">Q254+1</f>
        <v>46536</v>
      </c>
      <c r="R255" s="31" t="n">
        <f aca="false">INDEX($B$27:$H$27,WEEKDAY(Q255,2))</f>
        <v>0</v>
      </c>
      <c r="S255" s="31" t="n">
        <f aca="false">SUM(R$5:R255)</f>
        <v>180</v>
      </c>
    </row>
    <row r="256" customFormat="false" ht="15" hidden="false" customHeight="false" outlineLevel="0" collapsed="false">
      <c r="K256" s="30" t="n">
        <f aca="false">K255+1</f>
        <v>46537</v>
      </c>
      <c r="L256" s="31" t="n">
        <f aca="false">INDEX($B$7:$H$7,WEEKDAY(K256,2))</f>
        <v>0</v>
      </c>
      <c r="M256" s="31" t="n">
        <f aca="false">SUM(L$5:L256)</f>
        <v>180</v>
      </c>
      <c r="N256" s="30" t="n">
        <f aca="false">N255+1</f>
        <v>46537</v>
      </c>
      <c r="O256" s="31" t="n">
        <f aca="false">INDEX($B$17:$H$17,WEEKDAY(N256,2))</f>
        <v>0</v>
      </c>
      <c r="P256" s="31" t="n">
        <f aca="false">SUM(O$5:O256)</f>
        <v>180</v>
      </c>
      <c r="Q256" s="30" t="n">
        <f aca="false">Q255+1</f>
        <v>46537</v>
      </c>
      <c r="R256" s="31" t="n">
        <f aca="false">INDEX($B$27:$H$27,WEEKDAY(Q256,2))</f>
        <v>0</v>
      </c>
      <c r="S256" s="31" t="n">
        <f aca="false">SUM(R$5:R256)</f>
        <v>180</v>
      </c>
    </row>
    <row r="257" customFormat="false" ht="15" hidden="false" customHeight="false" outlineLevel="0" collapsed="false">
      <c r="K257" s="30" t="n">
        <f aca="false">K256+1</f>
        <v>46538</v>
      </c>
      <c r="L257" s="31" t="n">
        <f aca="false">INDEX($B$7:$H$7,WEEKDAY(K257,2))</f>
        <v>1</v>
      </c>
      <c r="M257" s="31" t="n">
        <f aca="false">SUM(L$5:L257)</f>
        <v>181</v>
      </c>
      <c r="N257" s="30" t="n">
        <f aca="false">N256+1</f>
        <v>46538</v>
      </c>
      <c r="O257" s="31" t="n">
        <f aca="false">INDEX($B$17:$H$17,WEEKDAY(N257,2))</f>
        <v>1</v>
      </c>
      <c r="P257" s="31" t="n">
        <f aca="false">SUM(O$5:O257)</f>
        <v>181</v>
      </c>
      <c r="Q257" s="30" t="n">
        <f aca="false">Q256+1</f>
        <v>46538</v>
      </c>
      <c r="R257" s="31" t="n">
        <f aca="false">INDEX($B$27:$H$27,WEEKDAY(Q257,2))</f>
        <v>1</v>
      </c>
      <c r="S257" s="31" t="n">
        <f aca="false">SUM(R$5:R257)</f>
        <v>181</v>
      </c>
    </row>
    <row r="258" customFormat="false" ht="15" hidden="false" customHeight="false" outlineLevel="0" collapsed="false">
      <c r="K258" s="30" t="n">
        <f aca="false">K257+1</f>
        <v>46539</v>
      </c>
      <c r="L258" s="31" t="n">
        <f aca="false">INDEX($B$7:$H$7,WEEKDAY(K258,2))</f>
        <v>1</v>
      </c>
      <c r="M258" s="31" t="n">
        <f aca="false">SUM(L$5:L258)</f>
        <v>182</v>
      </c>
      <c r="N258" s="30" t="n">
        <f aca="false">N257+1</f>
        <v>46539</v>
      </c>
      <c r="O258" s="31" t="n">
        <f aca="false">INDEX($B$17:$H$17,WEEKDAY(N258,2))</f>
        <v>1</v>
      </c>
      <c r="P258" s="31" t="n">
        <f aca="false">SUM(O$5:O258)</f>
        <v>182</v>
      </c>
      <c r="Q258" s="30" t="n">
        <f aca="false">Q257+1</f>
        <v>46539</v>
      </c>
      <c r="R258" s="31" t="n">
        <f aca="false">INDEX($B$27:$H$27,WEEKDAY(Q258,2))</f>
        <v>1</v>
      </c>
      <c r="S258" s="31" t="n">
        <f aca="false">SUM(R$5:R258)</f>
        <v>182</v>
      </c>
    </row>
    <row r="259" customFormat="false" ht="15" hidden="false" customHeight="false" outlineLevel="0" collapsed="false">
      <c r="K259" s="30" t="n">
        <f aca="false">K258+1</f>
        <v>46540</v>
      </c>
      <c r="L259" s="31" t="n">
        <f aca="false">INDEX($B$7:$H$7,WEEKDAY(K259,2))</f>
        <v>1</v>
      </c>
      <c r="M259" s="31" t="n">
        <f aca="false">SUM(L$5:L259)</f>
        <v>183</v>
      </c>
      <c r="N259" s="30" t="n">
        <f aca="false">N258+1</f>
        <v>46540</v>
      </c>
      <c r="O259" s="31" t="n">
        <f aca="false">INDEX($B$17:$H$17,WEEKDAY(N259,2))</f>
        <v>1</v>
      </c>
      <c r="P259" s="31" t="n">
        <f aca="false">SUM(O$5:O259)</f>
        <v>183</v>
      </c>
      <c r="Q259" s="30" t="n">
        <f aca="false">Q258+1</f>
        <v>46540</v>
      </c>
      <c r="R259" s="31" t="n">
        <f aca="false">INDEX($B$27:$H$27,WEEKDAY(Q259,2))</f>
        <v>1</v>
      </c>
      <c r="S259" s="31" t="n">
        <f aca="false">SUM(R$5:R259)</f>
        <v>183</v>
      </c>
    </row>
    <row r="260" customFormat="false" ht="15" hidden="false" customHeight="false" outlineLevel="0" collapsed="false">
      <c r="K260" s="30" t="n">
        <f aca="false">K259+1</f>
        <v>46541</v>
      </c>
      <c r="L260" s="31" t="n">
        <f aca="false">INDEX($B$7:$H$7,WEEKDAY(K260,2))</f>
        <v>1</v>
      </c>
      <c r="M260" s="31" t="n">
        <f aca="false">SUM(L$5:L260)</f>
        <v>184</v>
      </c>
      <c r="N260" s="30" t="n">
        <f aca="false">N259+1</f>
        <v>46541</v>
      </c>
      <c r="O260" s="31" t="n">
        <f aca="false">INDEX($B$17:$H$17,WEEKDAY(N260,2))</f>
        <v>1</v>
      </c>
      <c r="P260" s="31" t="n">
        <f aca="false">SUM(O$5:O260)</f>
        <v>184</v>
      </c>
      <c r="Q260" s="30" t="n">
        <f aca="false">Q259+1</f>
        <v>46541</v>
      </c>
      <c r="R260" s="31" t="n">
        <f aca="false">INDEX($B$27:$H$27,WEEKDAY(Q260,2))</f>
        <v>1</v>
      </c>
      <c r="S260" s="31" t="n">
        <f aca="false">SUM(R$5:R260)</f>
        <v>184</v>
      </c>
    </row>
    <row r="261" customFormat="false" ht="15" hidden="false" customHeight="false" outlineLevel="0" collapsed="false">
      <c r="K261" s="30" t="n">
        <f aca="false">K260+1</f>
        <v>46542</v>
      </c>
      <c r="L261" s="31" t="n">
        <f aca="false">INDEX($B$7:$H$7,WEEKDAY(K261,2))</f>
        <v>1</v>
      </c>
      <c r="M261" s="31" t="n">
        <f aca="false">SUM(L$5:L261)</f>
        <v>185</v>
      </c>
      <c r="N261" s="30" t="n">
        <f aca="false">N260+1</f>
        <v>46542</v>
      </c>
      <c r="O261" s="31" t="n">
        <f aca="false">INDEX($B$17:$H$17,WEEKDAY(N261,2))</f>
        <v>1</v>
      </c>
      <c r="P261" s="31" t="n">
        <f aca="false">SUM(O$5:O261)</f>
        <v>185</v>
      </c>
      <c r="Q261" s="30" t="n">
        <f aca="false">Q260+1</f>
        <v>46542</v>
      </c>
      <c r="R261" s="31" t="n">
        <f aca="false">INDEX($B$27:$H$27,WEEKDAY(Q261,2))</f>
        <v>1</v>
      </c>
      <c r="S261" s="31" t="n">
        <f aca="false">SUM(R$5:R261)</f>
        <v>185</v>
      </c>
    </row>
    <row r="262" customFormat="false" ht="15" hidden="false" customHeight="false" outlineLevel="0" collapsed="false">
      <c r="K262" s="30" t="n">
        <f aca="false">K261+1</f>
        <v>46543</v>
      </c>
      <c r="L262" s="31" t="n">
        <f aca="false">INDEX($B$7:$H$7,WEEKDAY(K262,2))</f>
        <v>0</v>
      </c>
      <c r="M262" s="31" t="n">
        <f aca="false">SUM(L$5:L262)</f>
        <v>185</v>
      </c>
      <c r="N262" s="30" t="n">
        <f aca="false">N261+1</f>
        <v>46543</v>
      </c>
      <c r="O262" s="31" t="n">
        <f aca="false">INDEX($B$17:$H$17,WEEKDAY(N262,2))</f>
        <v>0</v>
      </c>
      <c r="P262" s="31" t="n">
        <f aca="false">SUM(O$5:O262)</f>
        <v>185</v>
      </c>
      <c r="Q262" s="30" t="n">
        <f aca="false">Q261+1</f>
        <v>46543</v>
      </c>
      <c r="R262" s="31" t="n">
        <f aca="false">INDEX($B$27:$H$27,WEEKDAY(Q262,2))</f>
        <v>0</v>
      </c>
      <c r="S262" s="31" t="n">
        <f aca="false">SUM(R$5:R262)</f>
        <v>185</v>
      </c>
    </row>
    <row r="263" customFormat="false" ht="15" hidden="false" customHeight="false" outlineLevel="0" collapsed="false">
      <c r="K263" s="30" t="n">
        <f aca="false">K262+1</f>
        <v>46544</v>
      </c>
      <c r="L263" s="31" t="n">
        <f aca="false">INDEX($B$7:$H$7,WEEKDAY(K263,2))</f>
        <v>0</v>
      </c>
      <c r="M263" s="31" t="n">
        <f aca="false">SUM(L$5:L263)</f>
        <v>185</v>
      </c>
      <c r="N263" s="30" t="n">
        <f aca="false">N262+1</f>
        <v>46544</v>
      </c>
      <c r="O263" s="31" t="n">
        <f aca="false">INDEX($B$17:$H$17,WEEKDAY(N263,2))</f>
        <v>0</v>
      </c>
      <c r="P263" s="31" t="n">
        <f aca="false">SUM(O$5:O263)</f>
        <v>185</v>
      </c>
      <c r="Q263" s="30" t="n">
        <f aca="false">Q262+1</f>
        <v>46544</v>
      </c>
      <c r="R263" s="31" t="n">
        <f aca="false">INDEX($B$27:$H$27,WEEKDAY(Q263,2))</f>
        <v>0</v>
      </c>
      <c r="S263" s="31" t="n">
        <f aca="false">SUM(R$5:R263)</f>
        <v>185</v>
      </c>
    </row>
    <row r="264" customFormat="false" ht="15" hidden="false" customHeight="false" outlineLevel="0" collapsed="false">
      <c r="K264" s="30" t="n">
        <f aca="false">K263+1</f>
        <v>46545</v>
      </c>
      <c r="L264" s="31" t="n">
        <f aca="false">INDEX($B$7:$H$7,WEEKDAY(K264,2))</f>
        <v>1</v>
      </c>
      <c r="M264" s="31" t="n">
        <f aca="false">SUM(L$5:L264)</f>
        <v>186</v>
      </c>
      <c r="N264" s="30" t="n">
        <f aca="false">N263+1</f>
        <v>46545</v>
      </c>
      <c r="O264" s="31" t="n">
        <f aca="false">INDEX($B$17:$H$17,WEEKDAY(N264,2))</f>
        <v>1</v>
      </c>
      <c r="P264" s="31" t="n">
        <f aca="false">SUM(O$5:O264)</f>
        <v>186</v>
      </c>
      <c r="Q264" s="30" t="n">
        <f aca="false">Q263+1</f>
        <v>46545</v>
      </c>
      <c r="R264" s="31" t="n">
        <f aca="false">INDEX($B$27:$H$27,WEEKDAY(Q264,2))</f>
        <v>1</v>
      </c>
      <c r="S264" s="31" t="n">
        <f aca="false">SUM(R$5:R264)</f>
        <v>186</v>
      </c>
    </row>
    <row r="265" customFormat="false" ht="15" hidden="false" customHeight="false" outlineLevel="0" collapsed="false">
      <c r="K265" s="30" t="n">
        <f aca="false">K264+1</f>
        <v>46546</v>
      </c>
      <c r="L265" s="31" t="n">
        <f aca="false">INDEX($B$7:$H$7,WEEKDAY(K265,2))</f>
        <v>1</v>
      </c>
      <c r="M265" s="31" t="n">
        <f aca="false">SUM(L$5:L265)</f>
        <v>187</v>
      </c>
      <c r="N265" s="30" t="n">
        <f aca="false">N264+1</f>
        <v>46546</v>
      </c>
      <c r="O265" s="31" t="n">
        <f aca="false">INDEX($B$17:$H$17,WEEKDAY(N265,2))</f>
        <v>1</v>
      </c>
      <c r="P265" s="31" t="n">
        <f aca="false">SUM(O$5:O265)</f>
        <v>187</v>
      </c>
      <c r="Q265" s="30" t="n">
        <f aca="false">Q264+1</f>
        <v>46546</v>
      </c>
      <c r="R265" s="31" t="n">
        <f aca="false">INDEX($B$27:$H$27,WEEKDAY(Q265,2))</f>
        <v>1</v>
      </c>
      <c r="S265" s="31" t="n">
        <f aca="false">SUM(R$5:R265)</f>
        <v>187</v>
      </c>
    </row>
    <row r="266" customFormat="false" ht="15" hidden="false" customHeight="false" outlineLevel="0" collapsed="false">
      <c r="K266" s="30" t="n">
        <f aca="false">K265+1</f>
        <v>46547</v>
      </c>
      <c r="L266" s="31" t="n">
        <f aca="false">INDEX($B$7:$H$7,WEEKDAY(K266,2))</f>
        <v>1</v>
      </c>
      <c r="M266" s="31" t="n">
        <f aca="false">SUM(L$5:L266)</f>
        <v>188</v>
      </c>
      <c r="N266" s="30" t="n">
        <f aca="false">N265+1</f>
        <v>46547</v>
      </c>
      <c r="O266" s="31" t="n">
        <f aca="false">INDEX($B$17:$H$17,WEEKDAY(N266,2))</f>
        <v>1</v>
      </c>
      <c r="P266" s="31" t="n">
        <f aca="false">SUM(O$5:O266)</f>
        <v>188</v>
      </c>
      <c r="Q266" s="30" t="n">
        <f aca="false">Q265+1</f>
        <v>46547</v>
      </c>
      <c r="R266" s="31" t="n">
        <f aca="false">INDEX($B$27:$H$27,WEEKDAY(Q266,2))</f>
        <v>1</v>
      </c>
      <c r="S266" s="31" t="n">
        <f aca="false">SUM(R$5:R266)</f>
        <v>188</v>
      </c>
    </row>
    <row r="267" customFormat="false" ht="15" hidden="false" customHeight="false" outlineLevel="0" collapsed="false">
      <c r="K267" s="30" t="n">
        <f aca="false">K266+1</f>
        <v>46548</v>
      </c>
      <c r="L267" s="31" t="n">
        <f aca="false">INDEX($B$7:$H$7,WEEKDAY(K267,2))</f>
        <v>1</v>
      </c>
      <c r="M267" s="31" t="n">
        <f aca="false">SUM(L$5:L267)</f>
        <v>189</v>
      </c>
      <c r="N267" s="30" t="n">
        <f aca="false">N266+1</f>
        <v>46548</v>
      </c>
      <c r="O267" s="31" t="n">
        <f aca="false">INDEX($B$17:$H$17,WEEKDAY(N267,2))</f>
        <v>1</v>
      </c>
      <c r="P267" s="31" t="n">
        <f aca="false">SUM(O$5:O267)</f>
        <v>189</v>
      </c>
      <c r="Q267" s="30" t="n">
        <f aca="false">Q266+1</f>
        <v>46548</v>
      </c>
      <c r="R267" s="31" t="n">
        <f aca="false">INDEX($B$27:$H$27,WEEKDAY(Q267,2))</f>
        <v>1</v>
      </c>
      <c r="S267" s="31" t="n">
        <f aca="false">SUM(R$5:R267)</f>
        <v>189</v>
      </c>
    </row>
    <row r="268" customFormat="false" ht="15" hidden="false" customHeight="false" outlineLevel="0" collapsed="false">
      <c r="K268" s="30" t="n">
        <f aca="false">K267+1</f>
        <v>46549</v>
      </c>
      <c r="L268" s="31" t="n">
        <f aca="false">INDEX($B$7:$H$7,WEEKDAY(K268,2))</f>
        <v>1</v>
      </c>
      <c r="M268" s="31" t="n">
        <f aca="false">SUM(L$5:L268)</f>
        <v>190</v>
      </c>
      <c r="N268" s="30" t="n">
        <f aca="false">N267+1</f>
        <v>46549</v>
      </c>
      <c r="O268" s="31" t="n">
        <f aca="false">INDEX($B$17:$H$17,WEEKDAY(N268,2))</f>
        <v>1</v>
      </c>
      <c r="P268" s="31" t="n">
        <f aca="false">SUM(O$5:O268)</f>
        <v>190</v>
      </c>
      <c r="Q268" s="30" t="n">
        <f aca="false">Q267+1</f>
        <v>46549</v>
      </c>
      <c r="R268" s="31" t="n">
        <f aca="false">INDEX($B$27:$H$27,WEEKDAY(Q268,2))</f>
        <v>1</v>
      </c>
      <c r="S268" s="31" t="n">
        <f aca="false">SUM(R$5:R268)</f>
        <v>190</v>
      </c>
    </row>
    <row r="269" customFormat="false" ht="15" hidden="false" customHeight="false" outlineLevel="0" collapsed="false">
      <c r="K269" s="30" t="n">
        <f aca="false">K268+1</f>
        <v>46550</v>
      </c>
      <c r="L269" s="31" t="n">
        <f aca="false">INDEX($B$7:$H$7,WEEKDAY(K269,2))</f>
        <v>0</v>
      </c>
      <c r="M269" s="31" t="n">
        <f aca="false">SUM(L$5:L269)</f>
        <v>190</v>
      </c>
      <c r="N269" s="30" t="n">
        <f aca="false">N268+1</f>
        <v>46550</v>
      </c>
      <c r="O269" s="31" t="n">
        <f aca="false">INDEX($B$17:$H$17,WEEKDAY(N269,2))</f>
        <v>0</v>
      </c>
      <c r="P269" s="31" t="n">
        <f aca="false">SUM(O$5:O269)</f>
        <v>190</v>
      </c>
      <c r="Q269" s="30" t="n">
        <f aca="false">Q268+1</f>
        <v>46550</v>
      </c>
      <c r="R269" s="31" t="n">
        <f aca="false">INDEX($B$27:$H$27,WEEKDAY(Q269,2))</f>
        <v>0</v>
      </c>
      <c r="S269" s="31" t="n">
        <f aca="false">SUM(R$5:R269)</f>
        <v>190</v>
      </c>
    </row>
    <row r="270" customFormat="false" ht="15" hidden="false" customHeight="false" outlineLevel="0" collapsed="false">
      <c r="K270" s="30" t="n">
        <f aca="false">K269+1</f>
        <v>46551</v>
      </c>
      <c r="L270" s="31" t="n">
        <f aca="false">INDEX($B$7:$H$7,WEEKDAY(K270,2))</f>
        <v>0</v>
      </c>
      <c r="M270" s="31" t="n">
        <f aca="false">SUM(L$5:L270)</f>
        <v>190</v>
      </c>
      <c r="N270" s="30" t="n">
        <f aca="false">N269+1</f>
        <v>46551</v>
      </c>
      <c r="O270" s="31" t="n">
        <f aca="false">INDEX($B$17:$H$17,WEEKDAY(N270,2))</f>
        <v>0</v>
      </c>
      <c r="P270" s="31" t="n">
        <f aca="false">SUM(O$5:O270)</f>
        <v>190</v>
      </c>
      <c r="Q270" s="30" t="n">
        <f aca="false">Q269+1</f>
        <v>46551</v>
      </c>
      <c r="R270" s="31" t="n">
        <f aca="false">INDEX($B$27:$H$27,WEEKDAY(Q270,2))</f>
        <v>0</v>
      </c>
      <c r="S270" s="31" t="n">
        <f aca="false">SUM(R$5:R270)</f>
        <v>190</v>
      </c>
    </row>
    <row r="271" customFormat="false" ht="15" hidden="false" customHeight="false" outlineLevel="0" collapsed="false">
      <c r="K271" s="30" t="n">
        <f aca="false">K270+1</f>
        <v>46552</v>
      </c>
      <c r="L271" s="31" t="n">
        <f aca="false">INDEX($B$7:$H$7,WEEKDAY(K271,2))</f>
        <v>1</v>
      </c>
      <c r="M271" s="31" t="n">
        <f aca="false">SUM(L$5:L271)</f>
        <v>191</v>
      </c>
      <c r="N271" s="30" t="n">
        <f aca="false">N270+1</f>
        <v>46552</v>
      </c>
      <c r="O271" s="31" t="n">
        <f aca="false">INDEX($B$17:$H$17,WEEKDAY(N271,2))</f>
        <v>1</v>
      </c>
      <c r="P271" s="31" t="n">
        <f aca="false">SUM(O$5:O271)</f>
        <v>191</v>
      </c>
      <c r="Q271" s="30" t="n">
        <f aca="false">Q270+1</f>
        <v>46552</v>
      </c>
      <c r="R271" s="31" t="n">
        <f aca="false">INDEX($B$27:$H$27,WEEKDAY(Q271,2))</f>
        <v>1</v>
      </c>
      <c r="S271" s="31" t="n">
        <f aca="false">SUM(R$5:R271)</f>
        <v>191</v>
      </c>
    </row>
    <row r="272" customFormat="false" ht="15" hidden="false" customHeight="false" outlineLevel="0" collapsed="false">
      <c r="K272" s="30" t="n">
        <f aca="false">K271+1</f>
        <v>46553</v>
      </c>
      <c r="L272" s="31" t="n">
        <f aca="false">INDEX($B$7:$H$7,WEEKDAY(K272,2))</f>
        <v>1</v>
      </c>
      <c r="M272" s="31" t="n">
        <f aca="false">SUM(L$5:L272)</f>
        <v>192</v>
      </c>
      <c r="N272" s="30" t="n">
        <f aca="false">N271+1</f>
        <v>46553</v>
      </c>
      <c r="O272" s="31" t="n">
        <f aca="false">INDEX($B$17:$H$17,WEEKDAY(N272,2))</f>
        <v>1</v>
      </c>
      <c r="P272" s="31" t="n">
        <f aca="false">SUM(O$5:O272)</f>
        <v>192</v>
      </c>
      <c r="Q272" s="30" t="n">
        <f aca="false">Q271+1</f>
        <v>46553</v>
      </c>
      <c r="R272" s="31" t="n">
        <f aca="false">INDEX($B$27:$H$27,WEEKDAY(Q272,2))</f>
        <v>1</v>
      </c>
      <c r="S272" s="31" t="n">
        <f aca="false">SUM(R$5:R272)</f>
        <v>192</v>
      </c>
    </row>
    <row r="273" customFormat="false" ht="15" hidden="false" customHeight="false" outlineLevel="0" collapsed="false">
      <c r="K273" s="30" t="n">
        <f aca="false">K272+1</f>
        <v>46554</v>
      </c>
      <c r="L273" s="31" t="n">
        <f aca="false">INDEX($B$7:$H$7,WEEKDAY(K273,2))</f>
        <v>1</v>
      </c>
      <c r="M273" s="31" t="n">
        <f aca="false">SUM(L$5:L273)</f>
        <v>193</v>
      </c>
      <c r="N273" s="30" t="n">
        <f aca="false">N272+1</f>
        <v>46554</v>
      </c>
      <c r="O273" s="31" t="n">
        <f aca="false">INDEX($B$17:$H$17,WEEKDAY(N273,2))</f>
        <v>1</v>
      </c>
      <c r="P273" s="31" t="n">
        <f aca="false">SUM(O$5:O273)</f>
        <v>193</v>
      </c>
      <c r="Q273" s="30" t="n">
        <f aca="false">Q272+1</f>
        <v>46554</v>
      </c>
      <c r="R273" s="31" t="n">
        <f aca="false">INDEX($B$27:$H$27,WEEKDAY(Q273,2))</f>
        <v>1</v>
      </c>
      <c r="S273" s="31" t="n">
        <f aca="false">SUM(R$5:R273)</f>
        <v>193</v>
      </c>
    </row>
    <row r="274" customFormat="false" ht="15" hidden="false" customHeight="false" outlineLevel="0" collapsed="false">
      <c r="K274" s="30" t="n">
        <f aca="false">K273+1</f>
        <v>46555</v>
      </c>
      <c r="L274" s="31" t="n">
        <f aca="false">INDEX($B$7:$H$7,WEEKDAY(K274,2))</f>
        <v>1</v>
      </c>
      <c r="M274" s="31" t="n">
        <f aca="false">SUM(L$5:L274)</f>
        <v>194</v>
      </c>
      <c r="N274" s="30" t="n">
        <f aca="false">N273+1</f>
        <v>46555</v>
      </c>
      <c r="O274" s="31" t="n">
        <f aca="false">INDEX($B$17:$H$17,WEEKDAY(N274,2))</f>
        <v>1</v>
      </c>
      <c r="P274" s="31" t="n">
        <f aca="false">SUM(O$5:O274)</f>
        <v>194</v>
      </c>
      <c r="Q274" s="30" t="n">
        <f aca="false">Q273+1</f>
        <v>46555</v>
      </c>
      <c r="R274" s="31" t="n">
        <f aca="false">INDEX($B$27:$H$27,WEEKDAY(Q274,2))</f>
        <v>1</v>
      </c>
      <c r="S274" s="31" t="n">
        <f aca="false">SUM(R$5:R274)</f>
        <v>194</v>
      </c>
    </row>
    <row r="275" customFormat="false" ht="15" hidden="false" customHeight="false" outlineLevel="0" collapsed="false">
      <c r="K275" s="30" t="n">
        <f aca="false">K274+1</f>
        <v>46556</v>
      </c>
      <c r="L275" s="31" t="n">
        <f aca="false">INDEX($B$7:$H$7,WEEKDAY(K275,2))</f>
        <v>1</v>
      </c>
      <c r="M275" s="31" t="n">
        <f aca="false">SUM(L$5:L275)</f>
        <v>195</v>
      </c>
      <c r="N275" s="30" t="n">
        <f aca="false">N274+1</f>
        <v>46556</v>
      </c>
      <c r="O275" s="31" t="n">
        <f aca="false">INDEX($B$17:$H$17,WEEKDAY(N275,2))</f>
        <v>1</v>
      </c>
      <c r="P275" s="31" t="n">
        <f aca="false">SUM(O$5:O275)</f>
        <v>195</v>
      </c>
      <c r="Q275" s="30" t="n">
        <f aca="false">Q274+1</f>
        <v>46556</v>
      </c>
      <c r="R275" s="31" t="n">
        <f aca="false">INDEX($B$27:$H$27,WEEKDAY(Q275,2))</f>
        <v>1</v>
      </c>
      <c r="S275" s="31" t="n">
        <f aca="false">SUM(R$5:R275)</f>
        <v>195</v>
      </c>
    </row>
    <row r="276" customFormat="false" ht="15" hidden="false" customHeight="false" outlineLevel="0" collapsed="false">
      <c r="K276" s="30" t="n">
        <f aca="false">K275+1</f>
        <v>46557</v>
      </c>
      <c r="L276" s="31" t="n">
        <f aca="false">INDEX($B$7:$H$7,WEEKDAY(K276,2))</f>
        <v>0</v>
      </c>
      <c r="M276" s="31" t="n">
        <f aca="false">SUM(L$5:L276)</f>
        <v>195</v>
      </c>
      <c r="N276" s="30" t="n">
        <f aca="false">N275+1</f>
        <v>46557</v>
      </c>
      <c r="O276" s="31" t="n">
        <f aca="false">INDEX($B$17:$H$17,WEEKDAY(N276,2))</f>
        <v>0</v>
      </c>
      <c r="P276" s="31" t="n">
        <f aca="false">SUM(O$5:O276)</f>
        <v>195</v>
      </c>
      <c r="Q276" s="30" t="n">
        <f aca="false">Q275+1</f>
        <v>46557</v>
      </c>
      <c r="R276" s="31" t="n">
        <f aca="false">INDEX($B$27:$H$27,WEEKDAY(Q276,2))</f>
        <v>0</v>
      </c>
      <c r="S276" s="31" t="n">
        <f aca="false">SUM(R$5:R276)</f>
        <v>195</v>
      </c>
    </row>
    <row r="277" customFormat="false" ht="15" hidden="false" customHeight="false" outlineLevel="0" collapsed="false">
      <c r="K277" s="30" t="n">
        <f aca="false">K276+1</f>
        <v>46558</v>
      </c>
      <c r="L277" s="31" t="n">
        <f aca="false">INDEX($B$7:$H$7,WEEKDAY(K277,2))</f>
        <v>0</v>
      </c>
      <c r="M277" s="31" t="n">
        <f aca="false">SUM(L$5:L277)</f>
        <v>195</v>
      </c>
      <c r="N277" s="30" t="n">
        <f aca="false">N276+1</f>
        <v>46558</v>
      </c>
      <c r="O277" s="31" t="n">
        <f aca="false">INDEX($B$17:$H$17,WEEKDAY(N277,2))</f>
        <v>0</v>
      </c>
      <c r="P277" s="31" t="n">
        <f aca="false">SUM(O$5:O277)</f>
        <v>195</v>
      </c>
      <c r="Q277" s="30" t="n">
        <f aca="false">Q276+1</f>
        <v>46558</v>
      </c>
      <c r="R277" s="31" t="n">
        <f aca="false">INDEX($B$27:$H$27,WEEKDAY(Q277,2))</f>
        <v>0</v>
      </c>
      <c r="S277" s="31" t="n">
        <f aca="false">SUM(R$5:R277)</f>
        <v>195</v>
      </c>
    </row>
    <row r="278" customFormat="false" ht="15" hidden="false" customHeight="false" outlineLevel="0" collapsed="false">
      <c r="K278" s="30" t="n">
        <f aca="false">K277+1</f>
        <v>46559</v>
      </c>
      <c r="L278" s="31" t="n">
        <f aca="false">INDEX($B$7:$H$7,WEEKDAY(K278,2))</f>
        <v>1</v>
      </c>
      <c r="M278" s="31" t="n">
        <f aca="false">SUM(L$5:L278)</f>
        <v>196</v>
      </c>
      <c r="N278" s="30" t="n">
        <f aca="false">N277+1</f>
        <v>46559</v>
      </c>
      <c r="O278" s="31" t="n">
        <f aca="false">INDEX($B$17:$H$17,WEEKDAY(N278,2))</f>
        <v>1</v>
      </c>
      <c r="P278" s="31" t="n">
        <f aca="false">SUM(O$5:O278)</f>
        <v>196</v>
      </c>
      <c r="Q278" s="30" t="n">
        <f aca="false">Q277+1</f>
        <v>46559</v>
      </c>
      <c r="R278" s="31" t="n">
        <f aca="false">INDEX($B$27:$H$27,WEEKDAY(Q278,2))</f>
        <v>1</v>
      </c>
      <c r="S278" s="31" t="n">
        <f aca="false">SUM(R$5:R278)</f>
        <v>196</v>
      </c>
    </row>
    <row r="279" customFormat="false" ht="15" hidden="false" customHeight="false" outlineLevel="0" collapsed="false">
      <c r="K279" s="30" t="n">
        <f aca="false">K278+1</f>
        <v>46560</v>
      </c>
      <c r="L279" s="31" t="n">
        <f aca="false">INDEX($B$7:$H$7,WEEKDAY(K279,2))</f>
        <v>1</v>
      </c>
      <c r="M279" s="31" t="n">
        <f aca="false">SUM(L$5:L279)</f>
        <v>197</v>
      </c>
      <c r="N279" s="30" t="n">
        <f aca="false">N278+1</f>
        <v>46560</v>
      </c>
      <c r="O279" s="31" t="n">
        <f aca="false">INDEX($B$17:$H$17,WEEKDAY(N279,2))</f>
        <v>1</v>
      </c>
      <c r="P279" s="31" t="n">
        <f aca="false">SUM(O$5:O279)</f>
        <v>197</v>
      </c>
      <c r="Q279" s="30" t="n">
        <f aca="false">Q278+1</f>
        <v>46560</v>
      </c>
      <c r="R279" s="31" t="n">
        <f aca="false">INDEX($B$27:$H$27,WEEKDAY(Q279,2))</f>
        <v>1</v>
      </c>
      <c r="S279" s="31" t="n">
        <f aca="false">SUM(R$5:R279)</f>
        <v>197</v>
      </c>
    </row>
    <row r="280" customFormat="false" ht="15" hidden="false" customHeight="false" outlineLevel="0" collapsed="false">
      <c r="K280" s="30" t="n">
        <f aca="false">K279+1</f>
        <v>46561</v>
      </c>
      <c r="L280" s="31" t="n">
        <f aca="false">INDEX($B$7:$H$7,WEEKDAY(K280,2))</f>
        <v>1</v>
      </c>
      <c r="M280" s="31" t="n">
        <f aca="false">SUM(L$5:L280)</f>
        <v>198</v>
      </c>
      <c r="N280" s="30" t="n">
        <f aca="false">N279+1</f>
        <v>46561</v>
      </c>
      <c r="O280" s="31" t="n">
        <f aca="false">INDEX($B$17:$H$17,WEEKDAY(N280,2))</f>
        <v>1</v>
      </c>
      <c r="P280" s="31" t="n">
        <f aca="false">SUM(O$5:O280)</f>
        <v>198</v>
      </c>
      <c r="Q280" s="30" t="n">
        <f aca="false">Q279+1</f>
        <v>46561</v>
      </c>
      <c r="R280" s="31" t="n">
        <f aca="false">INDEX($B$27:$H$27,WEEKDAY(Q280,2))</f>
        <v>1</v>
      </c>
      <c r="S280" s="31" t="n">
        <f aca="false">SUM(R$5:R280)</f>
        <v>198</v>
      </c>
    </row>
    <row r="281" customFormat="false" ht="15" hidden="false" customHeight="false" outlineLevel="0" collapsed="false">
      <c r="K281" s="30" t="n">
        <f aca="false">K280+1</f>
        <v>46562</v>
      </c>
      <c r="L281" s="31" t="n">
        <f aca="false">INDEX($B$7:$H$7,WEEKDAY(K281,2))</f>
        <v>1</v>
      </c>
      <c r="M281" s="31" t="n">
        <f aca="false">SUM(L$5:L281)</f>
        <v>199</v>
      </c>
      <c r="N281" s="30" t="n">
        <f aca="false">N280+1</f>
        <v>46562</v>
      </c>
      <c r="O281" s="31" t="n">
        <f aca="false">INDEX($B$17:$H$17,WEEKDAY(N281,2))</f>
        <v>1</v>
      </c>
      <c r="P281" s="31" t="n">
        <f aca="false">SUM(O$5:O281)</f>
        <v>199</v>
      </c>
      <c r="Q281" s="30" t="n">
        <f aca="false">Q280+1</f>
        <v>46562</v>
      </c>
      <c r="R281" s="31" t="n">
        <f aca="false">INDEX($B$27:$H$27,WEEKDAY(Q281,2))</f>
        <v>1</v>
      </c>
      <c r="S281" s="31" t="n">
        <f aca="false">SUM(R$5:R281)</f>
        <v>199</v>
      </c>
    </row>
    <row r="282" customFormat="false" ht="15" hidden="false" customHeight="false" outlineLevel="0" collapsed="false">
      <c r="K282" s="30" t="n">
        <f aca="false">K281+1</f>
        <v>46563</v>
      </c>
      <c r="L282" s="31" t="n">
        <f aca="false">INDEX($B$7:$H$7,WEEKDAY(K282,2))</f>
        <v>1</v>
      </c>
      <c r="M282" s="31" t="n">
        <f aca="false">SUM(L$5:L282)</f>
        <v>200</v>
      </c>
      <c r="N282" s="30" t="n">
        <f aca="false">N281+1</f>
        <v>46563</v>
      </c>
      <c r="O282" s="31" t="n">
        <f aca="false">INDEX($B$17:$H$17,WEEKDAY(N282,2))</f>
        <v>1</v>
      </c>
      <c r="P282" s="31" t="n">
        <f aca="false">SUM(O$5:O282)</f>
        <v>200</v>
      </c>
      <c r="Q282" s="30" t="n">
        <f aca="false">Q281+1</f>
        <v>46563</v>
      </c>
      <c r="R282" s="31" t="n">
        <f aca="false">INDEX($B$27:$H$27,WEEKDAY(Q282,2))</f>
        <v>1</v>
      </c>
      <c r="S282" s="31" t="n">
        <f aca="false">SUM(R$5:R282)</f>
        <v>200</v>
      </c>
    </row>
    <row r="283" customFormat="false" ht="15" hidden="false" customHeight="false" outlineLevel="0" collapsed="false">
      <c r="K283" s="30" t="n">
        <f aca="false">K282+1</f>
        <v>46564</v>
      </c>
      <c r="L283" s="31" t="n">
        <f aca="false">INDEX($B$7:$H$7,WEEKDAY(K283,2))</f>
        <v>0</v>
      </c>
      <c r="M283" s="31" t="n">
        <f aca="false">SUM(L$5:L283)</f>
        <v>200</v>
      </c>
      <c r="N283" s="30" t="n">
        <f aca="false">N282+1</f>
        <v>46564</v>
      </c>
      <c r="O283" s="31" t="n">
        <f aca="false">INDEX($B$17:$H$17,WEEKDAY(N283,2))</f>
        <v>0</v>
      </c>
      <c r="P283" s="31" t="n">
        <f aca="false">SUM(O$5:O283)</f>
        <v>200</v>
      </c>
      <c r="Q283" s="30" t="n">
        <f aca="false">Q282+1</f>
        <v>46564</v>
      </c>
      <c r="R283" s="31" t="n">
        <f aca="false">INDEX($B$27:$H$27,WEEKDAY(Q283,2))</f>
        <v>0</v>
      </c>
      <c r="S283" s="31" t="n">
        <f aca="false">SUM(R$5:R283)</f>
        <v>200</v>
      </c>
    </row>
    <row r="284" customFormat="false" ht="15" hidden="false" customHeight="false" outlineLevel="0" collapsed="false">
      <c r="K284" s="30" t="n">
        <f aca="false">K283+1</f>
        <v>46565</v>
      </c>
      <c r="L284" s="31" t="n">
        <f aca="false">INDEX($B$7:$H$7,WEEKDAY(K284,2))</f>
        <v>0</v>
      </c>
      <c r="M284" s="31" t="n">
        <f aca="false">SUM(L$5:L284)</f>
        <v>200</v>
      </c>
      <c r="N284" s="30" t="n">
        <f aca="false">N283+1</f>
        <v>46565</v>
      </c>
      <c r="O284" s="31" t="n">
        <f aca="false">INDEX($B$17:$H$17,WEEKDAY(N284,2))</f>
        <v>0</v>
      </c>
      <c r="P284" s="31" t="n">
        <f aca="false">SUM(O$5:O284)</f>
        <v>200</v>
      </c>
      <c r="Q284" s="30" t="n">
        <f aca="false">Q283+1</f>
        <v>46565</v>
      </c>
      <c r="R284" s="31" t="n">
        <f aca="false">INDEX($B$27:$H$27,WEEKDAY(Q284,2))</f>
        <v>0</v>
      </c>
      <c r="S284" s="31" t="n">
        <f aca="false">SUM(R$5:R284)</f>
        <v>200</v>
      </c>
    </row>
    <row r="285" customFormat="false" ht="15" hidden="false" customHeight="false" outlineLevel="0" collapsed="false">
      <c r="K285" s="30" t="n">
        <f aca="false">K284+1</f>
        <v>46566</v>
      </c>
      <c r="L285" s="31" t="n">
        <f aca="false">INDEX($B$7:$H$7,WEEKDAY(K285,2))</f>
        <v>1</v>
      </c>
      <c r="M285" s="31" t="n">
        <f aca="false">SUM(L$5:L285)</f>
        <v>201</v>
      </c>
      <c r="N285" s="30" t="n">
        <f aca="false">N284+1</f>
        <v>46566</v>
      </c>
      <c r="O285" s="31" t="n">
        <f aca="false">INDEX($B$17:$H$17,WEEKDAY(N285,2))</f>
        <v>1</v>
      </c>
      <c r="P285" s="31" t="n">
        <f aca="false">SUM(O$5:O285)</f>
        <v>201</v>
      </c>
      <c r="Q285" s="30" t="n">
        <f aca="false">Q284+1</f>
        <v>46566</v>
      </c>
      <c r="R285" s="31" t="n">
        <f aca="false">INDEX($B$27:$H$27,WEEKDAY(Q285,2))</f>
        <v>1</v>
      </c>
      <c r="S285" s="31" t="n">
        <f aca="false">SUM(R$5:R285)</f>
        <v>201</v>
      </c>
    </row>
    <row r="286" customFormat="false" ht="15" hidden="false" customHeight="false" outlineLevel="0" collapsed="false">
      <c r="K286" s="30" t="n">
        <f aca="false">K285+1</f>
        <v>46567</v>
      </c>
      <c r="L286" s="31" t="n">
        <f aca="false">INDEX($B$7:$H$7,WEEKDAY(K286,2))</f>
        <v>1</v>
      </c>
      <c r="M286" s="31" t="n">
        <f aca="false">SUM(L$5:L286)</f>
        <v>202</v>
      </c>
      <c r="N286" s="30" t="n">
        <f aca="false">N285+1</f>
        <v>46567</v>
      </c>
      <c r="O286" s="31" t="n">
        <f aca="false">INDEX($B$17:$H$17,WEEKDAY(N286,2))</f>
        <v>1</v>
      </c>
      <c r="P286" s="31" t="n">
        <f aca="false">SUM(O$5:O286)</f>
        <v>202</v>
      </c>
      <c r="Q286" s="30" t="n">
        <f aca="false">Q285+1</f>
        <v>46567</v>
      </c>
      <c r="R286" s="31" t="n">
        <f aca="false">INDEX($B$27:$H$27,WEEKDAY(Q286,2))</f>
        <v>1</v>
      </c>
      <c r="S286" s="31" t="n">
        <f aca="false">SUM(R$5:R286)</f>
        <v>202</v>
      </c>
    </row>
    <row r="287" customFormat="false" ht="15" hidden="false" customHeight="false" outlineLevel="0" collapsed="false">
      <c r="K287" s="30" t="n">
        <f aca="false">K286+1</f>
        <v>46568</v>
      </c>
      <c r="L287" s="31" t="n">
        <f aca="false">INDEX($B$7:$H$7,WEEKDAY(K287,2))</f>
        <v>1</v>
      </c>
      <c r="M287" s="31" t="n">
        <f aca="false">SUM(L$5:L287)</f>
        <v>203</v>
      </c>
      <c r="N287" s="30" t="n">
        <f aca="false">N286+1</f>
        <v>46568</v>
      </c>
      <c r="O287" s="31" t="n">
        <f aca="false">INDEX($B$17:$H$17,WEEKDAY(N287,2))</f>
        <v>1</v>
      </c>
      <c r="P287" s="31" t="n">
        <f aca="false">SUM(O$5:O287)</f>
        <v>203</v>
      </c>
      <c r="Q287" s="30" t="n">
        <f aca="false">Q286+1</f>
        <v>46568</v>
      </c>
      <c r="R287" s="31" t="n">
        <f aca="false">INDEX($B$27:$H$27,WEEKDAY(Q287,2))</f>
        <v>1</v>
      </c>
      <c r="S287" s="31" t="n">
        <f aca="false">SUM(R$5:R287)</f>
        <v>203</v>
      </c>
    </row>
    <row r="288" customFormat="false" ht="15" hidden="false" customHeight="false" outlineLevel="0" collapsed="false">
      <c r="K288" s="30" t="n">
        <f aca="false">K287+1</f>
        <v>46569</v>
      </c>
      <c r="L288" s="31" t="n">
        <f aca="false">INDEX($B$7:$H$7,WEEKDAY(K288,2))</f>
        <v>1</v>
      </c>
      <c r="M288" s="31" t="n">
        <f aca="false">SUM(L$5:L288)</f>
        <v>204</v>
      </c>
      <c r="N288" s="30" t="n">
        <f aca="false">N287+1</f>
        <v>46569</v>
      </c>
      <c r="O288" s="31" t="n">
        <f aca="false">INDEX($B$17:$H$17,WEEKDAY(N288,2))</f>
        <v>1</v>
      </c>
      <c r="P288" s="31" t="n">
        <f aca="false">SUM(O$5:O288)</f>
        <v>204</v>
      </c>
      <c r="Q288" s="30" t="n">
        <f aca="false">Q287+1</f>
        <v>46569</v>
      </c>
      <c r="R288" s="31" t="n">
        <f aca="false">INDEX($B$27:$H$27,WEEKDAY(Q288,2))</f>
        <v>1</v>
      </c>
      <c r="S288" s="31" t="n">
        <f aca="false">SUM(R$5:R288)</f>
        <v>204</v>
      </c>
    </row>
    <row r="289" customFormat="false" ht="15" hidden="false" customHeight="false" outlineLevel="0" collapsed="false">
      <c r="K289" s="30" t="n">
        <f aca="false">K288+1</f>
        <v>46570</v>
      </c>
      <c r="L289" s="31" t="n">
        <f aca="false">INDEX($B$7:$H$7,WEEKDAY(K289,2))</f>
        <v>1</v>
      </c>
      <c r="M289" s="31" t="n">
        <f aca="false">SUM(L$5:L289)</f>
        <v>205</v>
      </c>
      <c r="N289" s="30" t="n">
        <f aca="false">N288+1</f>
        <v>46570</v>
      </c>
      <c r="O289" s="31" t="n">
        <f aca="false">INDEX($B$17:$H$17,WEEKDAY(N289,2))</f>
        <v>1</v>
      </c>
      <c r="P289" s="31" t="n">
        <f aca="false">SUM(O$5:O289)</f>
        <v>205</v>
      </c>
      <c r="Q289" s="30" t="n">
        <f aca="false">Q288+1</f>
        <v>46570</v>
      </c>
      <c r="R289" s="31" t="n">
        <f aca="false">INDEX($B$27:$H$27,WEEKDAY(Q289,2))</f>
        <v>1</v>
      </c>
      <c r="S289" s="31" t="n">
        <f aca="false">SUM(R$5:R289)</f>
        <v>205</v>
      </c>
    </row>
    <row r="290" customFormat="false" ht="15" hidden="false" customHeight="false" outlineLevel="0" collapsed="false">
      <c r="K290" s="30" t="n">
        <f aca="false">K289+1</f>
        <v>46571</v>
      </c>
      <c r="L290" s="31" t="n">
        <f aca="false">INDEX($B$7:$H$7,WEEKDAY(K290,2))</f>
        <v>0</v>
      </c>
      <c r="M290" s="31" t="n">
        <f aca="false">SUM(L$5:L290)</f>
        <v>205</v>
      </c>
      <c r="N290" s="30" t="n">
        <f aca="false">N289+1</f>
        <v>46571</v>
      </c>
      <c r="O290" s="31" t="n">
        <f aca="false">INDEX($B$17:$H$17,WEEKDAY(N290,2))</f>
        <v>0</v>
      </c>
      <c r="P290" s="31" t="n">
        <f aca="false">SUM(O$5:O290)</f>
        <v>205</v>
      </c>
      <c r="Q290" s="30" t="n">
        <f aca="false">Q289+1</f>
        <v>46571</v>
      </c>
      <c r="R290" s="31" t="n">
        <f aca="false">INDEX($B$27:$H$27,WEEKDAY(Q290,2))</f>
        <v>0</v>
      </c>
      <c r="S290" s="31" t="n">
        <f aca="false">SUM(R$5:R290)</f>
        <v>205</v>
      </c>
    </row>
    <row r="291" customFormat="false" ht="15" hidden="false" customHeight="false" outlineLevel="0" collapsed="false">
      <c r="K291" s="30" t="n">
        <f aca="false">K290+1</f>
        <v>46572</v>
      </c>
      <c r="L291" s="31" t="n">
        <f aca="false">INDEX($B$7:$H$7,WEEKDAY(K291,2))</f>
        <v>0</v>
      </c>
      <c r="M291" s="31" t="n">
        <f aca="false">SUM(L$5:L291)</f>
        <v>205</v>
      </c>
      <c r="N291" s="30" t="n">
        <f aca="false">N290+1</f>
        <v>46572</v>
      </c>
      <c r="O291" s="31" t="n">
        <f aca="false">INDEX($B$17:$H$17,WEEKDAY(N291,2))</f>
        <v>0</v>
      </c>
      <c r="P291" s="31" t="n">
        <f aca="false">SUM(O$5:O291)</f>
        <v>205</v>
      </c>
      <c r="Q291" s="30" t="n">
        <f aca="false">Q290+1</f>
        <v>46572</v>
      </c>
      <c r="R291" s="31" t="n">
        <f aca="false">INDEX($B$27:$H$27,WEEKDAY(Q291,2))</f>
        <v>0</v>
      </c>
      <c r="S291" s="31" t="n">
        <f aca="false">SUM(R$5:R291)</f>
        <v>205</v>
      </c>
    </row>
    <row r="292" customFormat="false" ht="15" hidden="false" customHeight="false" outlineLevel="0" collapsed="false">
      <c r="K292" s="30" t="n">
        <f aca="false">K291+1</f>
        <v>46573</v>
      </c>
      <c r="L292" s="31" t="n">
        <f aca="false">INDEX($B$7:$H$7,WEEKDAY(K292,2))</f>
        <v>1</v>
      </c>
      <c r="M292" s="31" t="n">
        <f aca="false">SUM(L$5:L292)</f>
        <v>206</v>
      </c>
      <c r="N292" s="30" t="n">
        <f aca="false">N291+1</f>
        <v>46573</v>
      </c>
      <c r="O292" s="31" t="n">
        <f aca="false">INDEX($B$17:$H$17,WEEKDAY(N292,2))</f>
        <v>1</v>
      </c>
      <c r="P292" s="31" t="n">
        <f aca="false">SUM(O$5:O292)</f>
        <v>206</v>
      </c>
      <c r="Q292" s="30" t="n">
        <f aca="false">Q291+1</f>
        <v>46573</v>
      </c>
      <c r="R292" s="31" t="n">
        <f aca="false">INDEX($B$27:$H$27,WEEKDAY(Q292,2))</f>
        <v>1</v>
      </c>
      <c r="S292" s="31" t="n">
        <f aca="false">SUM(R$5:R292)</f>
        <v>206</v>
      </c>
    </row>
    <row r="293" customFormat="false" ht="15" hidden="false" customHeight="false" outlineLevel="0" collapsed="false">
      <c r="K293" s="30" t="n">
        <f aca="false">K292+1</f>
        <v>46574</v>
      </c>
      <c r="L293" s="31" t="n">
        <f aca="false">INDEX($B$7:$H$7,WEEKDAY(K293,2))</f>
        <v>1</v>
      </c>
      <c r="M293" s="31" t="n">
        <f aca="false">SUM(L$5:L293)</f>
        <v>207</v>
      </c>
      <c r="N293" s="30" t="n">
        <f aca="false">N292+1</f>
        <v>46574</v>
      </c>
      <c r="O293" s="31" t="n">
        <f aca="false">INDEX($B$17:$H$17,WEEKDAY(N293,2))</f>
        <v>1</v>
      </c>
      <c r="P293" s="31" t="n">
        <f aca="false">SUM(O$5:O293)</f>
        <v>207</v>
      </c>
      <c r="Q293" s="30" t="n">
        <f aca="false">Q292+1</f>
        <v>46574</v>
      </c>
      <c r="R293" s="31" t="n">
        <f aca="false">INDEX($B$27:$H$27,WEEKDAY(Q293,2))</f>
        <v>1</v>
      </c>
      <c r="S293" s="31" t="n">
        <f aca="false">SUM(R$5:R293)</f>
        <v>207</v>
      </c>
    </row>
    <row r="294" customFormat="false" ht="15" hidden="false" customHeight="false" outlineLevel="0" collapsed="false">
      <c r="K294" s="30" t="n">
        <f aca="false">K293+1</f>
        <v>46575</v>
      </c>
      <c r="L294" s="31" t="n">
        <f aca="false">INDEX($B$7:$H$7,WEEKDAY(K294,2))</f>
        <v>1</v>
      </c>
      <c r="M294" s="31" t="n">
        <f aca="false">SUM(L$5:L294)</f>
        <v>208</v>
      </c>
      <c r="N294" s="30" t="n">
        <f aca="false">N293+1</f>
        <v>46575</v>
      </c>
      <c r="O294" s="31" t="n">
        <f aca="false">INDEX($B$17:$H$17,WEEKDAY(N294,2))</f>
        <v>1</v>
      </c>
      <c r="P294" s="31" t="n">
        <f aca="false">SUM(O$5:O294)</f>
        <v>208</v>
      </c>
      <c r="Q294" s="30" t="n">
        <f aca="false">Q293+1</f>
        <v>46575</v>
      </c>
      <c r="R294" s="31" t="n">
        <f aca="false">INDEX($B$27:$H$27,WEEKDAY(Q294,2))</f>
        <v>1</v>
      </c>
      <c r="S294" s="31" t="n">
        <f aca="false">SUM(R$5:R294)</f>
        <v>208</v>
      </c>
    </row>
    <row r="295" customFormat="false" ht="15" hidden="false" customHeight="false" outlineLevel="0" collapsed="false">
      <c r="K295" s="30" t="n">
        <f aca="false">K294+1</f>
        <v>46576</v>
      </c>
      <c r="L295" s="31" t="n">
        <f aca="false">INDEX($B$7:$H$7,WEEKDAY(K295,2))</f>
        <v>1</v>
      </c>
      <c r="M295" s="31" t="n">
        <f aca="false">SUM(L$5:L295)</f>
        <v>209</v>
      </c>
      <c r="N295" s="30" t="n">
        <f aca="false">N294+1</f>
        <v>46576</v>
      </c>
      <c r="O295" s="31" t="n">
        <f aca="false">INDEX($B$17:$H$17,WEEKDAY(N295,2))</f>
        <v>1</v>
      </c>
      <c r="P295" s="31" t="n">
        <f aca="false">SUM(O$5:O295)</f>
        <v>209</v>
      </c>
      <c r="Q295" s="30" t="n">
        <f aca="false">Q294+1</f>
        <v>46576</v>
      </c>
      <c r="R295" s="31" t="n">
        <f aca="false">INDEX($B$27:$H$27,WEEKDAY(Q295,2))</f>
        <v>1</v>
      </c>
      <c r="S295" s="31" t="n">
        <f aca="false">SUM(R$5:R295)</f>
        <v>209</v>
      </c>
    </row>
    <row r="296" customFormat="false" ht="15" hidden="false" customHeight="false" outlineLevel="0" collapsed="false">
      <c r="K296" s="30" t="n">
        <f aca="false">K295+1</f>
        <v>46577</v>
      </c>
      <c r="L296" s="31" t="n">
        <f aca="false">INDEX($B$7:$H$7,WEEKDAY(K296,2))</f>
        <v>1</v>
      </c>
      <c r="M296" s="31" t="n">
        <f aca="false">SUM(L$5:L296)</f>
        <v>210</v>
      </c>
      <c r="N296" s="30" t="n">
        <f aca="false">N295+1</f>
        <v>46577</v>
      </c>
      <c r="O296" s="31" t="n">
        <f aca="false">INDEX($B$17:$H$17,WEEKDAY(N296,2))</f>
        <v>1</v>
      </c>
      <c r="P296" s="31" t="n">
        <f aca="false">SUM(O$5:O296)</f>
        <v>210</v>
      </c>
      <c r="Q296" s="30" t="n">
        <f aca="false">Q295+1</f>
        <v>46577</v>
      </c>
      <c r="R296" s="31" t="n">
        <f aca="false">INDEX($B$27:$H$27,WEEKDAY(Q296,2))</f>
        <v>1</v>
      </c>
      <c r="S296" s="31" t="n">
        <f aca="false">SUM(R$5:R296)</f>
        <v>210</v>
      </c>
    </row>
    <row r="297" customFormat="false" ht="15" hidden="false" customHeight="false" outlineLevel="0" collapsed="false">
      <c r="K297" s="30" t="n">
        <f aca="false">K296+1</f>
        <v>46578</v>
      </c>
      <c r="L297" s="31" t="n">
        <f aca="false">INDEX($B$7:$H$7,WEEKDAY(K297,2))</f>
        <v>0</v>
      </c>
      <c r="M297" s="31" t="n">
        <f aca="false">SUM(L$5:L297)</f>
        <v>210</v>
      </c>
      <c r="N297" s="30" t="n">
        <f aca="false">N296+1</f>
        <v>46578</v>
      </c>
      <c r="O297" s="31" t="n">
        <f aca="false">INDEX($B$17:$H$17,WEEKDAY(N297,2))</f>
        <v>0</v>
      </c>
      <c r="P297" s="31" t="n">
        <f aca="false">SUM(O$5:O297)</f>
        <v>210</v>
      </c>
      <c r="Q297" s="30" t="n">
        <f aca="false">Q296+1</f>
        <v>46578</v>
      </c>
      <c r="R297" s="31" t="n">
        <f aca="false">INDEX($B$27:$H$27,WEEKDAY(Q297,2))</f>
        <v>0</v>
      </c>
      <c r="S297" s="31" t="n">
        <f aca="false">SUM(R$5:R297)</f>
        <v>210</v>
      </c>
    </row>
    <row r="298" customFormat="false" ht="15" hidden="false" customHeight="false" outlineLevel="0" collapsed="false">
      <c r="K298" s="30" t="n">
        <f aca="false">K297+1</f>
        <v>46579</v>
      </c>
      <c r="L298" s="31" t="n">
        <f aca="false">INDEX($B$7:$H$7,WEEKDAY(K298,2))</f>
        <v>0</v>
      </c>
      <c r="M298" s="31" t="n">
        <f aca="false">SUM(L$5:L298)</f>
        <v>210</v>
      </c>
      <c r="N298" s="30" t="n">
        <f aca="false">N297+1</f>
        <v>46579</v>
      </c>
      <c r="O298" s="31" t="n">
        <f aca="false">INDEX($B$17:$H$17,WEEKDAY(N298,2))</f>
        <v>0</v>
      </c>
      <c r="P298" s="31" t="n">
        <f aca="false">SUM(O$5:O298)</f>
        <v>210</v>
      </c>
      <c r="Q298" s="30" t="n">
        <f aca="false">Q297+1</f>
        <v>46579</v>
      </c>
      <c r="R298" s="31" t="n">
        <f aca="false">INDEX($B$27:$H$27,WEEKDAY(Q298,2))</f>
        <v>0</v>
      </c>
      <c r="S298" s="31" t="n">
        <f aca="false">SUM(R$5:R298)</f>
        <v>210</v>
      </c>
    </row>
    <row r="299" customFormat="false" ht="15" hidden="false" customHeight="false" outlineLevel="0" collapsed="false">
      <c r="K299" s="30" t="n">
        <f aca="false">K298+1</f>
        <v>46580</v>
      </c>
      <c r="L299" s="31" t="n">
        <f aca="false">INDEX($B$7:$H$7,WEEKDAY(K299,2))</f>
        <v>1</v>
      </c>
      <c r="M299" s="31" t="n">
        <f aca="false">SUM(L$5:L299)</f>
        <v>211</v>
      </c>
      <c r="N299" s="30" t="n">
        <f aca="false">N298+1</f>
        <v>46580</v>
      </c>
      <c r="O299" s="31" t="n">
        <f aca="false">INDEX($B$17:$H$17,WEEKDAY(N299,2))</f>
        <v>1</v>
      </c>
      <c r="P299" s="31" t="n">
        <f aca="false">SUM(O$5:O299)</f>
        <v>211</v>
      </c>
      <c r="Q299" s="30" t="n">
        <f aca="false">Q298+1</f>
        <v>46580</v>
      </c>
      <c r="R299" s="31" t="n">
        <f aca="false">INDEX($B$27:$H$27,WEEKDAY(Q299,2))</f>
        <v>1</v>
      </c>
      <c r="S299" s="31" t="n">
        <f aca="false">SUM(R$5:R299)</f>
        <v>211</v>
      </c>
    </row>
    <row r="300" customFormat="false" ht="15" hidden="false" customHeight="false" outlineLevel="0" collapsed="false">
      <c r="K300" s="30" t="n">
        <f aca="false">K299+1</f>
        <v>46581</v>
      </c>
      <c r="L300" s="31" t="n">
        <f aca="false">INDEX($B$7:$H$7,WEEKDAY(K300,2))</f>
        <v>1</v>
      </c>
      <c r="M300" s="31" t="n">
        <f aca="false">SUM(L$5:L300)</f>
        <v>212</v>
      </c>
      <c r="N300" s="30" t="n">
        <f aca="false">N299+1</f>
        <v>46581</v>
      </c>
      <c r="O300" s="31" t="n">
        <f aca="false">INDEX($B$17:$H$17,WEEKDAY(N300,2))</f>
        <v>1</v>
      </c>
      <c r="P300" s="31" t="n">
        <f aca="false">SUM(O$5:O300)</f>
        <v>212</v>
      </c>
      <c r="Q300" s="30" t="n">
        <f aca="false">Q299+1</f>
        <v>46581</v>
      </c>
      <c r="R300" s="31" t="n">
        <f aca="false">INDEX($B$27:$H$27,WEEKDAY(Q300,2))</f>
        <v>1</v>
      </c>
      <c r="S300" s="31" t="n">
        <f aca="false">SUM(R$5:R300)</f>
        <v>212</v>
      </c>
    </row>
    <row r="301" customFormat="false" ht="15" hidden="false" customHeight="false" outlineLevel="0" collapsed="false">
      <c r="K301" s="30" t="n">
        <f aca="false">K300+1</f>
        <v>46582</v>
      </c>
      <c r="L301" s="31" t="n">
        <f aca="false">INDEX($B$7:$H$7,WEEKDAY(K301,2))</f>
        <v>1</v>
      </c>
      <c r="M301" s="31" t="n">
        <f aca="false">SUM(L$5:L301)</f>
        <v>213</v>
      </c>
      <c r="N301" s="30" t="n">
        <f aca="false">N300+1</f>
        <v>46582</v>
      </c>
      <c r="O301" s="31" t="n">
        <f aca="false">INDEX($B$17:$H$17,WEEKDAY(N301,2))</f>
        <v>1</v>
      </c>
      <c r="P301" s="31" t="n">
        <f aca="false">SUM(O$5:O301)</f>
        <v>213</v>
      </c>
      <c r="Q301" s="30" t="n">
        <f aca="false">Q300+1</f>
        <v>46582</v>
      </c>
      <c r="R301" s="31" t="n">
        <f aca="false">INDEX($B$27:$H$27,WEEKDAY(Q301,2))</f>
        <v>1</v>
      </c>
      <c r="S301" s="31" t="n">
        <f aca="false">SUM(R$5:R301)</f>
        <v>213</v>
      </c>
    </row>
    <row r="302" customFormat="false" ht="15" hidden="false" customHeight="false" outlineLevel="0" collapsed="false">
      <c r="K302" s="30" t="n">
        <f aca="false">K301+1</f>
        <v>46583</v>
      </c>
      <c r="L302" s="31" t="n">
        <f aca="false">INDEX($B$7:$H$7,WEEKDAY(K302,2))</f>
        <v>1</v>
      </c>
      <c r="M302" s="31" t="n">
        <f aca="false">SUM(L$5:L302)</f>
        <v>214</v>
      </c>
      <c r="N302" s="30" t="n">
        <f aca="false">N301+1</f>
        <v>46583</v>
      </c>
      <c r="O302" s="31" t="n">
        <f aca="false">INDEX($B$17:$H$17,WEEKDAY(N302,2))</f>
        <v>1</v>
      </c>
      <c r="P302" s="31" t="n">
        <f aca="false">SUM(O$5:O302)</f>
        <v>214</v>
      </c>
      <c r="Q302" s="30" t="n">
        <f aca="false">Q301+1</f>
        <v>46583</v>
      </c>
      <c r="R302" s="31" t="n">
        <f aca="false">INDEX($B$27:$H$27,WEEKDAY(Q302,2))</f>
        <v>1</v>
      </c>
      <c r="S302" s="31" t="n">
        <f aca="false">SUM(R$5:R302)</f>
        <v>214</v>
      </c>
    </row>
    <row r="303" customFormat="false" ht="15" hidden="false" customHeight="false" outlineLevel="0" collapsed="false">
      <c r="K303" s="30" t="n">
        <f aca="false">K302+1</f>
        <v>46584</v>
      </c>
      <c r="L303" s="31" t="n">
        <f aca="false">INDEX($B$7:$H$7,WEEKDAY(K303,2))</f>
        <v>1</v>
      </c>
      <c r="M303" s="31" t="n">
        <f aca="false">SUM(L$5:L303)</f>
        <v>215</v>
      </c>
      <c r="N303" s="30" t="n">
        <f aca="false">N302+1</f>
        <v>46584</v>
      </c>
      <c r="O303" s="31" t="n">
        <f aca="false">INDEX($B$17:$H$17,WEEKDAY(N303,2))</f>
        <v>1</v>
      </c>
      <c r="P303" s="31" t="n">
        <f aca="false">SUM(O$5:O303)</f>
        <v>215</v>
      </c>
      <c r="Q303" s="30" t="n">
        <f aca="false">Q302+1</f>
        <v>46584</v>
      </c>
      <c r="R303" s="31" t="n">
        <f aca="false">INDEX($B$27:$H$27,WEEKDAY(Q303,2))</f>
        <v>1</v>
      </c>
      <c r="S303" s="31" t="n">
        <f aca="false">SUM(R$5:R303)</f>
        <v>215</v>
      </c>
    </row>
    <row r="304" customFormat="false" ht="15" hidden="false" customHeight="false" outlineLevel="0" collapsed="false">
      <c r="K304" s="30" t="n">
        <f aca="false">K303+1</f>
        <v>46585</v>
      </c>
      <c r="L304" s="31" t="n">
        <f aca="false">INDEX($B$7:$H$7,WEEKDAY(K304,2))</f>
        <v>0</v>
      </c>
      <c r="M304" s="31" t="n">
        <f aca="false">SUM(L$5:L304)</f>
        <v>215</v>
      </c>
      <c r="N304" s="30" t="n">
        <f aca="false">N303+1</f>
        <v>46585</v>
      </c>
      <c r="O304" s="31" t="n">
        <f aca="false">INDEX($B$17:$H$17,WEEKDAY(N304,2))</f>
        <v>0</v>
      </c>
      <c r="P304" s="31" t="n">
        <f aca="false">SUM(O$5:O304)</f>
        <v>215</v>
      </c>
      <c r="Q304" s="30" t="n">
        <f aca="false">Q303+1</f>
        <v>46585</v>
      </c>
      <c r="R304" s="31" t="n">
        <f aca="false">INDEX($B$27:$H$27,WEEKDAY(Q304,2))</f>
        <v>0</v>
      </c>
      <c r="S304" s="31" t="n">
        <f aca="false">SUM(R$5:R304)</f>
        <v>215</v>
      </c>
    </row>
    <row r="305" customFormat="false" ht="15" hidden="false" customHeight="false" outlineLevel="0" collapsed="false">
      <c r="K305" s="30" t="n">
        <f aca="false">K304+1</f>
        <v>46586</v>
      </c>
      <c r="L305" s="31" t="n">
        <f aca="false">INDEX($B$7:$H$7,WEEKDAY(K305,2))</f>
        <v>0</v>
      </c>
      <c r="M305" s="31" t="n">
        <f aca="false">SUM(L$5:L305)</f>
        <v>215</v>
      </c>
      <c r="N305" s="30" t="n">
        <f aca="false">N304+1</f>
        <v>46586</v>
      </c>
      <c r="O305" s="31" t="n">
        <f aca="false">INDEX($B$17:$H$17,WEEKDAY(N305,2))</f>
        <v>0</v>
      </c>
      <c r="P305" s="31" t="n">
        <f aca="false">SUM(O$5:O305)</f>
        <v>215</v>
      </c>
      <c r="Q305" s="30" t="n">
        <f aca="false">Q304+1</f>
        <v>46586</v>
      </c>
      <c r="R305" s="31" t="n">
        <f aca="false">INDEX($B$27:$H$27,WEEKDAY(Q305,2))</f>
        <v>0</v>
      </c>
      <c r="S305" s="31" t="n">
        <f aca="false">SUM(R$5:R305)</f>
        <v>215</v>
      </c>
    </row>
    <row r="306" customFormat="false" ht="15" hidden="false" customHeight="false" outlineLevel="0" collapsed="false">
      <c r="K306" s="30" t="n">
        <f aca="false">K305+1</f>
        <v>46587</v>
      </c>
      <c r="L306" s="31" t="n">
        <f aca="false">INDEX($B$7:$H$7,WEEKDAY(K306,2))</f>
        <v>1</v>
      </c>
      <c r="M306" s="31" t="n">
        <f aca="false">SUM(L$5:L306)</f>
        <v>216</v>
      </c>
      <c r="N306" s="30" t="n">
        <f aca="false">N305+1</f>
        <v>46587</v>
      </c>
      <c r="O306" s="31" t="n">
        <f aca="false">INDEX($B$17:$H$17,WEEKDAY(N306,2))</f>
        <v>1</v>
      </c>
      <c r="P306" s="31" t="n">
        <f aca="false">SUM(O$5:O306)</f>
        <v>216</v>
      </c>
      <c r="Q306" s="30" t="n">
        <f aca="false">Q305+1</f>
        <v>46587</v>
      </c>
      <c r="R306" s="31" t="n">
        <f aca="false">INDEX($B$27:$H$27,WEEKDAY(Q306,2))</f>
        <v>1</v>
      </c>
      <c r="S306" s="31" t="n">
        <f aca="false">SUM(R$5:R306)</f>
        <v>216</v>
      </c>
    </row>
    <row r="307" customFormat="false" ht="15" hidden="false" customHeight="false" outlineLevel="0" collapsed="false">
      <c r="K307" s="30" t="n">
        <f aca="false">K306+1</f>
        <v>46588</v>
      </c>
      <c r="L307" s="31" t="n">
        <f aca="false">INDEX($B$7:$H$7,WEEKDAY(K307,2))</f>
        <v>1</v>
      </c>
      <c r="M307" s="31" t="n">
        <f aca="false">SUM(L$5:L307)</f>
        <v>217</v>
      </c>
      <c r="N307" s="30" t="n">
        <f aca="false">N306+1</f>
        <v>46588</v>
      </c>
      <c r="O307" s="31" t="n">
        <f aca="false">INDEX($B$17:$H$17,WEEKDAY(N307,2))</f>
        <v>1</v>
      </c>
      <c r="P307" s="31" t="n">
        <f aca="false">SUM(O$5:O307)</f>
        <v>217</v>
      </c>
      <c r="Q307" s="30" t="n">
        <f aca="false">Q306+1</f>
        <v>46588</v>
      </c>
      <c r="R307" s="31" t="n">
        <f aca="false">INDEX($B$27:$H$27,WEEKDAY(Q307,2))</f>
        <v>1</v>
      </c>
      <c r="S307" s="31" t="n">
        <f aca="false">SUM(R$5:R307)</f>
        <v>217</v>
      </c>
    </row>
    <row r="308" customFormat="false" ht="15" hidden="false" customHeight="false" outlineLevel="0" collapsed="false">
      <c r="K308" s="30" t="n">
        <f aca="false">K307+1</f>
        <v>46589</v>
      </c>
      <c r="L308" s="31" t="n">
        <f aca="false">INDEX($B$7:$H$7,WEEKDAY(K308,2))</f>
        <v>1</v>
      </c>
      <c r="M308" s="31" t="n">
        <f aca="false">SUM(L$5:L308)</f>
        <v>218</v>
      </c>
      <c r="N308" s="30" t="n">
        <f aca="false">N307+1</f>
        <v>46589</v>
      </c>
      <c r="O308" s="31" t="n">
        <f aca="false">INDEX($B$17:$H$17,WEEKDAY(N308,2))</f>
        <v>1</v>
      </c>
      <c r="P308" s="31" t="n">
        <f aca="false">SUM(O$5:O308)</f>
        <v>218</v>
      </c>
      <c r="Q308" s="30" t="n">
        <f aca="false">Q307+1</f>
        <v>46589</v>
      </c>
      <c r="R308" s="31" t="n">
        <f aca="false">INDEX($B$27:$H$27,WEEKDAY(Q308,2))</f>
        <v>1</v>
      </c>
      <c r="S308" s="31" t="n">
        <f aca="false">SUM(R$5:R308)</f>
        <v>218</v>
      </c>
    </row>
    <row r="309" customFormat="false" ht="15" hidden="false" customHeight="false" outlineLevel="0" collapsed="false">
      <c r="K309" s="30" t="n">
        <f aca="false">K308+1</f>
        <v>46590</v>
      </c>
      <c r="L309" s="31" t="n">
        <f aca="false">INDEX($B$7:$H$7,WEEKDAY(K309,2))</f>
        <v>1</v>
      </c>
      <c r="M309" s="31" t="n">
        <f aca="false">SUM(L$5:L309)</f>
        <v>219</v>
      </c>
      <c r="N309" s="30" t="n">
        <f aca="false">N308+1</f>
        <v>46590</v>
      </c>
      <c r="O309" s="31" t="n">
        <f aca="false">INDEX($B$17:$H$17,WEEKDAY(N309,2))</f>
        <v>1</v>
      </c>
      <c r="P309" s="31" t="n">
        <f aca="false">SUM(O$5:O309)</f>
        <v>219</v>
      </c>
      <c r="Q309" s="30" t="n">
        <f aca="false">Q308+1</f>
        <v>46590</v>
      </c>
      <c r="R309" s="31" t="n">
        <f aca="false">INDEX($B$27:$H$27,WEEKDAY(Q309,2))</f>
        <v>1</v>
      </c>
      <c r="S309" s="31" t="n">
        <f aca="false">SUM(R$5:R309)</f>
        <v>219</v>
      </c>
    </row>
    <row r="310" customFormat="false" ht="15" hidden="false" customHeight="false" outlineLevel="0" collapsed="false">
      <c r="K310" s="30" t="n">
        <f aca="false">K309+1</f>
        <v>46591</v>
      </c>
      <c r="L310" s="31" t="n">
        <f aca="false">INDEX($B$7:$H$7,WEEKDAY(K310,2))</f>
        <v>1</v>
      </c>
      <c r="M310" s="31" t="n">
        <f aca="false">SUM(L$5:L310)</f>
        <v>220</v>
      </c>
      <c r="N310" s="30" t="n">
        <f aca="false">N309+1</f>
        <v>46591</v>
      </c>
      <c r="O310" s="31" t="n">
        <f aca="false">INDEX($B$17:$H$17,WEEKDAY(N310,2))</f>
        <v>1</v>
      </c>
      <c r="P310" s="31" t="n">
        <f aca="false">SUM(O$5:O310)</f>
        <v>220</v>
      </c>
      <c r="Q310" s="30" t="n">
        <f aca="false">Q309+1</f>
        <v>46591</v>
      </c>
      <c r="R310" s="31" t="n">
        <f aca="false">INDEX($B$27:$H$27,WEEKDAY(Q310,2))</f>
        <v>1</v>
      </c>
      <c r="S310" s="31" t="n">
        <f aca="false">SUM(R$5:R310)</f>
        <v>220</v>
      </c>
    </row>
    <row r="311" customFormat="false" ht="15" hidden="false" customHeight="false" outlineLevel="0" collapsed="false">
      <c r="K311" s="30" t="n">
        <f aca="false">K310+1</f>
        <v>46592</v>
      </c>
      <c r="L311" s="31" t="n">
        <f aca="false">INDEX($B$7:$H$7,WEEKDAY(K311,2))</f>
        <v>0</v>
      </c>
      <c r="M311" s="31" t="n">
        <f aca="false">SUM(L$5:L311)</f>
        <v>220</v>
      </c>
      <c r="N311" s="30" t="n">
        <f aca="false">N310+1</f>
        <v>46592</v>
      </c>
      <c r="O311" s="31" t="n">
        <f aca="false">INDEX($B$17:$H$17,WEEKDAY(N311,2))</f>
        <v>0</v>
      </c>
      <c r="P311" s="31" t="n">
        <f aca="false">SUM(O$5:O311)</f>
        <v>220</v>
      </c>
      <c r="Q311" s="30" t="n">
        <f aca="false">Q310+1</f>
        <v>46592</v>
      </c>
      <c r="R311" s="31" t="n">
        <f aca="false">INDEX($B$27:$H$27,WEEKDAY(Q311,2))</f>
        <v>0</v>
      </c>
      <c r="S311" s="31" t="n">
        <f aca="false">SUM(R$5:R311)</f>
        <v>220</v>
      </c>
    </row>
    <row r="312" customFormat="false" ht="15" hidden="false" customHeight="false" outlineLevel="0" collapsed="false">
      <c r="K312" s="30" t="n">
        <f aca="false">K311+1</f>
        <v>46593</v>
      </c>
      <c r="L312" s="31" t="n">
        <f aca="false">INDEX($B$7:$H$7,WEEKDAY(K312,2))</f>
        <v>0</v>
      </c>
      <c r="M312" s="31" t="n">
        <f aca="false">SUM(L$5:L312)</f>
        <v>220</v>
      </c>
      <c r="N312" s="30" t="n">
        <f aca="false">N311+1</f>
        <v>46593</v>
      </c>
      <c r="O312" s="31" t="n">
        <f aca="false">INDEX($B$17:$H$17,WEEKDAY(N312,2))</f>
        <v>0</v>
      </c>
      <c r="P312" s="31" t="n">
        <f aca="false">SUM(O$5:O312)</f>
        <v>220</v>
      </c>
      <c r="Q312" s="30" t="n">
        <f aca="false">Q311+1</f>
        <v>46593</v>
      </c>
      <c r="R312" s="31" t="n">
        <f aca="false">INDEX($B$27:$H$27,WEEKDAY(Q312,2))</f>
        <v>0</v>
      </c>
      <c r="S312" s="31" t="n">
        <f aca="false">SUM(R$5:R312)</f>
        <v>220</v>
      </c>
    </row>
    <row r="313" customFormat="false" ht="15" hidden="false" customHeight="false" outlineLevel="0" collapsed="false">
      <c r="K313" s="30" t="n">
        <f aca="false">K312+1</f>
        <v>46594</v>
      </c>
      <c r="L313" s="31" t="n">
        <f aca="false">INDEX($B$7:$H$7,WEEKDAY(K313,2))</f>
        <v>1</v>
      </c>
      <c r="M313" s="31" t="n">
        <f aca="false">SUM(L$5:L313)</f>
        <v>221</v>
      </c>
      <c r="N313" s="30" t="n">
        <f aca="false">N312+1</f>
        <v>46594</v>
      </c>
      <c r="O313" s="31" t="n">
        <f aca="false">INDEX($B$17:$H$17,WEEKDAY(N313,2))</f>
        <v>1</v>
      </c>
      <c r="P313" s="31" t="n">
        <f aca="false">SUM(O$5:O313)</f>
        <v>221</v>
      </c>
      <c r="Q313" s="30" t="n">
        <f aca="false">Q312+1</f>
        <v>46594</v>
      </c>
      <c r="R313" s="31" t="n">
        <f aca="false">INDEX($B$27:$H$27,WEEKDAY(Q313,2))</f>
        <v>1</v>
      </c>
      <c r="S313" s="31" t="n">
        <f aca="false">SUM(R$5:R313)</f>
        <v>221</v>
      </c>
    </row>
    <row r="314" customFormat="false" ht="15" hidden="false" customHeight="false" outlineLevel="0" collapsed="false">
      <c r="K314" s="30" t="n">
        <f aca="false">K313+1</f>
        <v>46595</v>
      </c>
      <c r="L314" s="31" t="n">
        <f aca="false">INDEX($B$7:$H$7,WEEKDAY(K314,2))</f>
        <v>1</v>
      </c>
      <c r="M314" s="31" t="n">
        <f aca="false">SUM(L$5:L314)</f>
        <v>222</v>
      </c>
      <c r="N314" s="30" t="n">
        <f aca="false">N313+1</f>
        <v>46595</v>
      </c>
      <c r="O314" s="31" t="n">
        <f aca="false">INDEX($B$17:$H$17,WEEKDAY(N314,2))</f>
        <v>1</v>
      </c>
      <c r="P314" s="31" t="n">
        <f aca="false">SUM(O$5:O314)</f>
        <v>222</v>
      </c>
      <c r="Q314" s="30" t="n">
        <f aca="false">Q313+1</f>
        <v>46595</v>
      </c>
      <c r="R314" s="31" t="n">
        <f aca="false">INDEX($B$27:$H$27,WEEKDAY(Q314,2))</f>
        <v>1</v>
      </c>
      <c r="S314" s="31" t="n">
        <f aca="false">SUM(R$5:R314)</f>
        <v>222</v>
      </c>
    </row>
    <row r="315" customFormat="false" ht="15" hidden="false" customHeight="false" outlineLevel="0" collapsed="false">
      <c r="K315" s="30" t="n">
        <f aca="false">K314+1</f>
        <v>46596</v>
      </c>
      <c r="L315" s="31" t="n">
        <f aca="false">INDEX($B$7:$H$7,WEEKDAY(K315,2))</f>
        <v>1</v>
      </c>
      <c r="M315" s="31" t="n">
        <f aca="false">SUM(L$5:L315)</f>
        <v>223</v>
      </c>
      <c r="N315" s="30" t="n">
        <f aca="false">N314+1</f>
        <v>46596</v>
      </c>
      <c r="O315" s="31" t="n">
        <f aca="false">INDEX($B$17:$H$17,WEEKDAY(N315,2))</f>
        <v>1</v>
      </c>
      <c r="P315" s="31" t="n">
        <f aca="false">SUM(O$5:O315)</f>
        <v>223</v>
      </c>
      <c r="Q315" s="30" t="n">
        <f aca="false">Q314+1</f>
        <v>46596</v>
      </c>
      <c r="R315" s="31" t="n">
        <f aca="false">INDEX($B$27:$H$27,WEEKDAY(Q315,2))</f>
        <v>1</v>
      </c>
      <c r="S315" s="31" t="n">
        <f aca="false">SUM(R$5:R315)</f>
        <v>223</v>
      </c>
    </row>
    <row r="316" customFormat="false" ht="15" hidden="false" customHeight="false" outlineLevel="0" collapsed="false">
      <c r="K316" s="30" t="n">
        <f aca="false">K315+1</f>
        <v>46597</v>
      </c>
      <c r="L316" s="31" t="n">
        <f aca="false">INDEX($B$7:$H$7,WEEKDAY(K316,2))</f>
        <v>1</v>
      </c>
      <c r="M316" s="31" t="n">
        <f aca="false">SUM(L$5:L316)</f>
        <v>224</v>
      </c>
      <c r="N316" s="30" t="n">
        <f aca="false">N315+1</f>
        <v>46597</v>
      </c>
      <c r="O316" s="31" t="n">
        <f aca="false">INDEX($B$17:$H$17,WEEKDAY(N316,2))</f>
        <v>1</v>
      </c>
      <c r="P316" s="31" t="n">
        <f aca="false">SUM(O$5:O316)</f>
        <v>224</v>
      </c>
      <c r="Q316" s="30" t="n">
        <f aca="false">Q315+1</f>
        <v>46597</v>
      </c>
      <c r="R316" s="31" t="n">
        <f aca="false">INDEX($B$27:$H$27,WEEKDAY(Q316,2))</f>
        <v>1</v>
      </c>
      <c r="S316" s="31" t="n">
        <f aca="false">SUM(R$5:R316)</f>
        <v>224</v>
      </c>
    </row>
    <row r="317" customFormat="false" ht="15" hidden="false" customHeight="false" outlineLevel="0" collapsed="false">
      <c r="K317" s="30" t="n">
        <f aca="false">K316+1</f>
        <v>46598</v>
      </c>
      <c r="L317" s="31" t="n">
        <f aca="false">INDEX($B$7:$H$7,WEEKDAY(K317,2))</f>
        <v>1</v>
      </c>
      <c r="M317" s="31" t="n">
        <f aca="false">SUM(L$5:L317)</f>
        <v>225</v>
      </c>
      <c r="N317" s="30" t="n">
        <f aca="false">N316+1</f>
        <v>46598</v>
      </c>
      <c r="O317" s="31" t="n">
        <f aca="false">INDEX($B$17:$H$17,WEEKDAY(N317,2))</f>
        <v>1</v>
      </c>
      <c r="P317" s="31" t="n">
        <f aca="false">SUM(O$5:O317)</f>
        <v>225</v>
      </c>
      <c r="Q317" s="30" t="n">
        <f aca="false">Q316+1</f>
        <v>46598</v>
      </c>
      <c r="R317" s="31" t="n">
        <f aca="false">INDEX($B$27:$H$27,WEEKDAY(Q317,2))</f>
        <v>1</v>
      </c>
      <c r="S317" s="31" t="n">
        <f aca="false">SUM(R$5:R317)</f>
        <v>225</v>
      </c>
    </row>
    <row r="318" customFormat="false" ht="15" hidden="false" customHeight="false" outlineLevel="0" collapsed="false">
      <c r="K318" s="30" t="n">
        <f aca="false">K317+1</f>
        <v>46599</v>
      </c>
      <c r="L318" s="31" t="n">
        <f aca="false">INDEX($B$7:$H$7,WEEKDAY(K318,2))</f>
        <v>0</v>
      </c>
      <c r="M318" s="31" t="n">
        <f aca="false">SUM(L$5:L318)</f>
        <v>225</v>
      </c>
      <c r="N318" s="30" t="n">
        <f aca="false">N317+1</f>
        <v>46599</v>
      </c>
      <c r="O318" s="31" t="n">
        <f aca="false">INDEX($B$17:$H$17,WEEKDAY(N318,2))</f>
        <v>0</v>
      </c>
      <c r="P318" s="31" t="n">
        <f aca="false">SUM(O$5:O318)</f>
        <v>225</v>
      </c>
      <c r="Q318" s="30" t="n">
        <f aca="false">Q317+1</f>
        <v>46599</v>
      </c>
      <c r="R318" s="31" t="n">
        <f aca="false">INDEX($B$27:$H$27,WEEKDAY(Q318,2))</f>
        <v>0</v>
      </c>
      <c r="S318" s="31" t="n">
        <f aca="false">SUM(R$5:R318)</f>
        <v>225</v>
      </c>
    </row>
    <row r="319" customFormat="false" ht="15" hidden="false" customHeight="false" outlineLevel="0" collapsed="false">
      <c r="K319" s="30" t="n">
        <f aca="false">K318+1</f>
        <v>46600</v>
      </c>
      <c r="L319" s="31" t="n">
        <f aca="false">INDEX($B$7:$H$7,WEEKDAY(K319,2))</f>
        <v>0</v>
      </c>
      <c r="M319" s="31" t="n">
        <f aca="false">SUM(L$5:L319)</f>
        <v>225</v>
      </c>
      <c r="N319" s="30" t="n">
        <f aca="false">N318+1</f>
        <v>46600</v>
      </c>
      <c r="O319" s="31" t="n">
        <f aca="false">INDEX($B$17:$H$17,WEEKDAY(N319,2))</f>
        <v>0</v>
      </c>
      <c r="P319" s="31" t="n">
        <f aca="false">SUM(O$5:O319)</f>
        <v>225</v>
      </c>
      <c r="Q319" s="30" t="n">
        <f aca="false">Q318+1</f>
        <v>46600</v>
      </c>
      <c r="R319" s="31" t="n">
        <f aca="false">INDEX($B$27:$H$27,WEEKDAY(Q319,2))</f>
        <v>0</v>
      </c>
      <c r="S319" s="31" t="n">
        <f aca="false">SUM(R$5:R319)</f>
        <v>225</v>
      </c>
    </row>
    <row r="320" customFormat="false" ht="15" hidden="false" customHeight="false" outlineLevel="0" collapsed="false">
      <c r="K320" s="30" t="n">
        <f aca="false">K319+1</f>
        <v>46601</v>
      </c>
      <c r="L320" s="31" t="n">
        <f aca="false">INDEX($B$7:$H$7,WEEKDAY(K320,2))</f>
        <v>1</v>
      </c>
      <c r="M320" s="31" t="n">
        <f aca="false">SUM(L$5:L320)</f>
        <v>226</v>
      </c>
      <c r="N320" s="30" t="n">
        <f aca="false">N319+1</f>
        <v>46601</v>
      </c>
      <c r="O320" s="31" t="n">
        <f aca="false">INDEX($B$17:$H$17,WEEKDAY(N320,2))</f>
        <v>1</v>
      </c>
      <c r="P320" s="31" t="n">
        <f aca="false">SUM(O$5:O320)</f>
        <v>226</v>
      </c>
      <c r="Q320" s="30" t="n">
        <f aca="false">Q319+1</f>
        <v>46601</v>
      </c>
      <c r="R320" s="31" t="n">
        <f aca="false">INDEX($B$27:$H$27,WEEKDAY(Q320,2))</f>
        <v>1</v>
      </c>
      <c r="S320" s="31" t="n">
        <f aca="false">SUM(R$5:R320)</f>
        <v>226</v>
      </c>
    </row>
    <row r="321" customFormat="false" ht="15" hidden="false" customHeight="false" outlineLevel="0" collapsed="false">
      <c r="K321" s="30" t="n">
        <f aca="false">K320+1</f>
        <v>46602</v>
      </c>
      <c r="L321" s="31" t="n">
        <f aca="false">INDEX($B$7:$H$7,WEEKDAY(K321,2))</f>
        <v>1</v>
      </c>
      <c r="M321" s="31" t="n">
        <f aca="false">SUM(L$5:L321)</f>
        <v>227</v>
      </c>
      <c r="N321" s="30" t="n">
        <f aca="false">N320+1</f>
        <v>46602</v>
      </c>
      <c r="O321" s="31" t="n">
        <f aca="false">INDEX($B$17:$H$17,WEEKDAY(N321,2))</f>
        <v>1</v>
      </c>
      <c r="P321" s="31" t="n">
        <f aca="false">SUM(O$5:O321)</f>
        <v>227</v>
      </c>
      <c r="Q321" s="30" t="n">
        <f aca="false">Q320+1</f>
        <v>46602</v>
      </c>
      <c r="R321" s="31" t="n">
        <f aca="false">INDEX($B$27:$H$27,WEEKDAY(Q321,2))</f>
        <v>1</v>
      </c>
      <c r="S321" s="31" t="n">
        <f aca="false">SUM(R$5:R321)</f>
        <v>227</v>
      </c>
    </row>
    <row r="322" customFormat="false" ht="15" hidden="false" customHeight="false" outlineLevel="0" collapsed="false">
      <c r="K322" s="30" t="n">
        <f aca="false">K321+1</f>
        <v>46603</v>
      </c>
      <c r="L322" s="31" t="n">
        <f aca="false">INDEX($B$7:$H$7,WEEKDAY(K322,2))</f>
        <v>1</v>
      </c>
      <c r="M322" s="31" t="n">
        <f aca="false">SUM(L$5:L322)</f>
        <v>228</v>
      </c>
      <c r="N322" s="30" t="n">
        <f aca="false">N321+1</f>
        <v>46603</v>
      </c>
      <c r="O322" s="31" t="n">
        <f aca="false">INDEX($B$17:$H$17,WEEKDAY(N322,2))</f>
        <v>1</v>
      </c>
      <c r="P322" s="31" t="n">
        <f aca="false">SUM(O$5:O322)</f>
        <v>228</v>
      </c>
      <c r="Q322" s="30" t="n">
        <f aca="false">Q321+1</f>
        <v>46603</v>
      </c>
      <c r="R322" s="31" t="n">
        <f aca="false">INDEX($B$27:$H$27,WEEKDAY(Q322,2))</f>
        <v>1</v>
      </c>
      <c r="S322" s="31" t="n">
        <f aca="false">SUM(R$5:R322)</f>
        <v>228</v>
      </c>
    </row>
    <row r="323" customFormat="false" ht="15" hidden="false" customHeight="false" outlineLevel="0" collapsed="false">
      <c r="K323" s="30" t="n">
        <f aca="false">K322+1</f>
        <v>46604</v>
      </c>
      <c r="L323" s="31" t="n">
        <f aca="false">INDEX($B$7:$H$7,WEEKDAY(K323,2))</f>
        <v>1</v>
      </c>
      <c r="M323" s="31" t="n">
        <f aca="false">SUM(L$5:L323)</f>
        <v>229</v>
      </c>
      <c r="N323" s="30" t="n">
        <f aca="false">N322+1</f>
        <v>46604</v>
      </c>
      <c r="O323" s="31" t="n">
        <f aca="false">INDEX($B$17:$H$17,WEEKDAY(N323,2))</f>
        <v>1</v>
      </c>
      <c r="P323" s="31" t="n">
        <f aca="false">SUM(O$5:O323)</f>
        <v>229</v>
      </c>
      <c r="Q323" s="30" t="n">
        <f aca="false">Q322+1</f>
        <v>46604</v>
      </c>
      <c r="R323" s="31" t="n">
        <f aca="false">INDEX($B$27:$H$27,WEEKDAY(Q323,2))</f>
        <v>1</v>
      </c>
      <c r="S323" s="31" t="n">
        <f aca="false">SUM(R$5:R323)</f>
        <v>229</v>
      </c>
    </row>
    <row r="324" customFormat="false" ht="15" hidden="false" customHeight="false" outlineLevel="0" collapsed="false">
      <c r="K324" s="30" t="n">
        <f aca="false">K323+1</f>
        <v>46605</v>
      </c>
      <c r="L324" s="31" t="n">
        <f aca="false">INDEX($B$7:$H$7,WEEKDAY(K324,2))</f>
        <v>1</v>
      </c>
      <c r="M324" s="31" t="n">
        <f aca="false">SUM(L$5:L324)</f>
        <v>230</v>
      </c>
      <c r="N324" s="30" t="n">
        <f aca="false">N323+1</f>
        <v>46605</v>
      </c>
      <c r="O324" s="31" t="n">
        <f aca="false">INDEX($B$17:$H$17,WEEKDAY(N324,2))</f>
        <v>1</v>
      </c>
      <c r="P324" s="31" t="n">
        <f aca="false">SUM(O$5:O324)</f>
        <v>230</v>
      </c>
      <c r="Q324" s="30" t="n">
        <f aca="false">Q323+1</f>
        <v>46605</v>
      </c>
      <c r="R324" s="31" t="n">
        <f aca="false">INDEX($B$27:$H$27,WEEKDAY(Q324,2))</f>
        <v>1</v>
      </c>
      <c r="S324" s="31" t="n">
        <f aca="false">SUM(R$5:R324)</f>
        <v>230</v>
      </c>
    </row>
    <row r="325" customFormat="false" ht="15" hidden="false" customHeight="false" outlineLevel="0" collapsed="false">
      <c r="K325" s="30" t="n">
        <f aca="false">K324+1</f>
        <v>46606</v>
      </c>
      <c r="L325" s="31" t="n">
        <f aca="false">INDEX($B$7:$H$7,WEEKDAY(K325,2))</f>
        <v>0</v>
      </c>
      <c r="M325" s="31" t="n">
        <f aca="false">SUM(L$5:L325)</f>
        <v>230</v>
      </c>
      <c r="N325" s="30" t="n">
        <f aca="false">N324+1</f>
        <v>46606</v>
      </c>
      <c r="O325" s="31" t="n">
        <f aca="false">INDEX($B$17:$H$17,WEEKDAY(N325,2))</f>
        <v>0</v>
      </c>
      <c r="P325" s="31" t="n">
        <f aca="false">SUM(O$5:O325)</f>
        <v>230</v>
      </c>
      <c r="Q325" s="30" t="n">
        <f aca="false">Q324+1</f>
        <v>46606</v>
      </c>
      <c r="R325" s="31" t="n">
        <f aca="false">INDEX($B$27:$H$27,WEEKDAY(Q325,2))</f>
        <v>0</v>
      </c>
      <c r="S325" s="31" t="n">
        <f aca="false">SUM(R$5:R325)</f>
        <v>230</v>
      </c>
    </row>
    <row r="326" customFormat="false" ht="15" hidden="false" customHeight="false" outlineLevel="0" collapsed="false">
      <c r="K326" s="30" t="n">
        <f aca="false">K325+1</f>
        <v>46607</v>
      </c>
      <c r="L326" s="31" t="n">
        <f aca="false">INDEX($B$7:$H$7,WEEKDAY(K326,2))</f>
        <v>0</v>
      </c>
      <c r="M326" s="31" t="n">
        <f aca="false">SUM(L$5:L326)</f>
        <v>230</v>
      </c>
      <c r="N326" s="30" t="n">
        <f aca="false">N325+1</f>
        <v>46607</v>
      </c>
      <c r="O326" s="31" t="n">
        <f aca="false">INDEX($B$17:$H$17,WEEKDAY(N326,2))</f>
        <v>0</v>
      </c>
      <c r="P326" s="31" t="n">
        <f aca="false">SUM(O$5:O326)</f>
        <v>230</v>
      </c>
      <c r="Q326" s="30" t="n">
        <f aca="false">Q325+1</f>
        <v>46607</v>
      </c>
      <c r="R326" s="31" t="n">
        <f aca="false">INDEX($B$27:$H$27,WEEKDAY(Q326,2))</f>
        <v>0</v>
      </c>
      <c r="S326" s="31" t="n">
        <f aca="false">SUM(R$5:R326)</f>
        <v>230</v>
      </c>
    </row>
    <row r="327" customFormat="false" ht="15" hidden="false" customHeight="false" outlineLevel="0" collapsed="false">
      <c r="K327" s="30" t="n">
        <f aca="false">K326+1</f>
        <v>46608</v>
      </c>
      <c r="L327" s="31" t="n">
        <f aca="false">INDEX($B$7:$H$7,WEEKDAY(K327,2))</f>
        <v>1</v>
      </c>
      <c r="M327" s="31" t="n">
        <f aca="false">SUM(L$5:L327)</f>
        <v>231</v>
      </c>
      <c r="N327" s="30" t="n">
        <f aca="false">N326+1</f>
        <v>46608</v>
      </c>
      <c r="O327" s="31" t="n">
        <f aca="false">INDEX($B$17:$H$17,WEEKDAY(N327,2))</f>
        <v>1</v>
      </c>
      <c r="P327" s="31" t="n">
        <f aca="false">SUM(O$5:O327)</f>
        <v>231</v>
      </c>
      <c r="Q327" s="30" t="n">
        <f aca="false">Q326+1</f>
        <v>46608</v>
      </c>
      <c r="R327" s="31" t="n">
        <f aca="false">INDEX($B$27:$H$27,WEEKDAY(Q327,2))</f>
        <v>1</v>
      </c>
      <c r="S327" s="31" t="n">
        <f aca="false">SUM(R$5:R327)</f>
        <v>231</v>
      </c>
    </row>
    <row r="328" customFormat="false" ht="15" hidden="false" customHeight="false" outlineLevel="0" collapsed="false">
      <c r="K328" s="30" t="n">
        <f aca="false">K327+1</f>
        <v>46609</v>
      </c>
      <c r="L328" s="31" t="n">
        <f aca="false">INDEX($B$7:$H$7,WEEKDAY(K328,2))</f>
        <v>1</v>
      </c>
      <c r="M328" s="31" t="n">
        <f aca="false">SUM(L$5:L328)</f>
        <v>232</v>
      </c>
      <c r="N328" s="30" t="n">
        <f aca="false">N327+1</f>
        <v>46609</v>
      </c>
      <c r="O328" s="31" t="n">
        <f aca="false">INDEX($B$17:$H$17,WEEKDAY(N328,2))</f>
        <v>1</v>
      </c>
      <c r="P328" s="31" t="n">
        <f aca="false">SUM(O$5:O328)</f>
        <v>232</v>
      </c>
      <c r="Q328" s="30" t="n">
        <f aca="false">Q327+1</f>
        <v>46609</v>
      </c>
      <c r="R328" s="31" t="n">
        <f aca="false">INDEX($B$27:$H$27,WEEKDAY(Q328,2))</f>
        <v>1</v>
      </c>
      <c r="S328" s="31" t="n">
        <f aca="false">SUM(R$5:R328)</f>
        <v>232</v>
      </c>
    </row>
    <row r="329" customFormat="false" ht="15" hidden="false" customHeight="false" outlineLevel="0" collapsed="false">
      <c r="K329" s="30" t="n">
        <f aca="false">K328+1</f>
        <v>46610</v>
      </c>
      <c r="L329" s="31" t="n">
        <f aca="false">INDEX($B$7:$H$7,WEEKDAY(K329,2))</f>
        <v>1</v>
      </c>
      <c r="M329" s="31" t="n">
        <f aca="false">SUM(L$5:L329)</f>
        <v>233</v>
      </c>
      <c r="N329" s="30" t="n">
        <f aca="false">N328+1</f>
        <v>46610</v>
      </c>
      <c r="O329" s="31" t="n">
        <f aca="false">INDEX($B$17:$H$17,WEEKDAY(N329,2))</f>
        <v>1</v>
      </c>
      <c r="P329" s="31" t="n">
        <f aca="false">SUM(O$5:O329)</f>
        <v>233</v>
      </c>
      <c r="Q329" s="30" t="n">
        <f aca="false">Q328+1</f>
        <v>46610</v>
      </c>
      <c r="R329" s="31" t="n">
        <f aca="false">INDEX($B$27:$H$27,WEEKDAY(Q329,2))</f>
        <v>1</v>
      </c>
      <c r="S329" s="31" t="n">
        <f aca="false">SUM(R$5:R329)</f>
        <v>233</v>
      </c>
    </row>
    <row r="330" customFormat="false" ht="15" hidden="false" customHeight="false" outlineLevel="0" collapsed="false">
      <c r="K330" s="30" t="n">
        <f aca="false">K329+1</f>
        <v>46611</v>
      </c>
      <c r="L330" s="31" t="n">
        <f aca="false">INDEX($B$7:$H$7,WEEKDAY(K330,2))</f>
        <v>1</v>
      </c>
      <c r="M330" s="31" t="n">
        <f aca="false">SUM(L$5:L330)</f>
        <v>234</v>
      </c>
      <c r="N330" s="30" t="n">
        <f aca="false">N329+1</f>
        <v>46611</v>
      </c>
      <c r="O330" s="31" t="n">
        <f aca="false">INDEX($B$17:$H$17,WEEKDAY(N330,2))</f>
        <v>1</v>
      </c>
      <c r="P330" s="31" t="n">
        <f aca="false">SUM(O$5:O330)</f>
        <v>234</v>
      </c>
      <c r="Q330" s="30" t="n">
        <f aca="false">Q329+1</f>
        <v>46611</v>
      </c>
      <c r="R330" s="31" t="n">
        <f aca="false">INDEX($B$27:$H$27,WEEKDAY(Q330,2))</f>
        <v>1</v>
      </c>
      <c r="S330" s="31" t="n">
        <f aca="false">SUM(R$5:R330)</f>
        <v>234</v>
      </c>
    </row>
    <row r="331" customFormat="false" ht="15" hidden="false" customHeight="false" outlineLevel="0" collapsed="false">
      <c r="K331" s="30" t="n">
        <f aca="false">K330+1</f>
        <v>46612</v>
      </c>
      <c r="L331" s="31" t="n">
        <f aca="false">INDEX($B$7:$H$7,WEEKDAY(K331,2))</f>
        <v>1</v>
      </c>
      <c r="M331" s="31" t="n">
        <f aca="false">SUM(L$5:L331)</f>
        <v>235</v>
      </c>
      <c r="N331" s="30" t="n">
        <f aca="false">N330+1</f>
        <v>46612</v>
      </c>
      <c r="O331" s="31" t="n">
        <f aca="false">INDEX($B$17:$H$17,WEEKDAY(N331,2))</f>
        <v>1</v>
      </c>
      <c r="P331" s="31" t="n">
        <f aca="false">SUM(O$5:O331)</f>
        <v>235</v>
      </c>
      <c r="Q331" s="30" t="n">
        <f aca="false">Q330+1</f>
        <v>46612</v>
      </c>
      <c r="R331" s="31" t="n">
        <f aca="false">INDEX($B$27:$H$27,WEEKDAY(Q331,2))</f>
        <v>1</v>
      </c>
      <c r="S331" s="31" t="n">
        <f aca="false">SUM(R$5:R331)</f>
        <v>235</v>
      </c>
    </row>
    <row r="332" customFormat="false" ht="15" hidden="false" customHeight="false" outlineLevel="0" collapsed="false">
      <c r="K332" s="30" t="n">
        <f aca="false">K331+1</f>
        <v>46613</v>
      </c>
      <c r="L332" s="31" t="n">
        <f aca="false">INDEX($B$7:$H$7,WEEKDAY(K332,2))</f>
        <v>0</v>
      </c>
      <c r="M332" s="31" t="n">
        <f aca="false">SUM(L$5:L332)</f>
        <v>235</v>
      </c>
      <c r="N332" s="30" t="n">
        <f aca="false">N331+1</f>
        <v>46613</v>
      </c>
      <c r="O332" s="31" t="n">
        <f aca="false">INDEX($B$17:$H$17,WEEKDAY(N332,2))</f>
        <v>0</v>
      </c>
      <c r="P332" s="31" t="n">
        <f aca="false">SUM(O$5:O332)</f>
        <v>235</v>
      </c>
      <c r="Q332" s="30" t="n">
        <f aca="false">Q331+1</f>
        <v>46613</v>
      </c>
      <c r="R332" s="31" t="n">
        <f aca="false">INDEX($B$27:$H$27,WEEKDAY(Q332,2))</f>
        <v>0</v>
      </c>
      <c r="S332" s="31" t="n">
        <f aca="false">SUM(R$5:R332)</f>
        <v>235</v>
      </c>
    </row>
    <row r="333" customFormat="false" ht="15" hidden="false" customHeight="false" outlineLevel="0" collapsed="false">
      <c r="K333" s="30" t="n">
        <f aca="false">K332+1</f>
        <v>46614</v>
      </c>
      <c r="L333" s="31" t="n">
        <f aca="false">INDEX($B$7:$H$7,WEEKDAY(K333,2))</f>
        <v>0</v>
      </c>
      <c r="M333" s="31" t="n">
        <f aca="false">SUM(L$5:L333)</f>
        <v>235</v>
      </c>
      <c r="N333" s="30" t="n">
        <f aca="false">N332+1</f>
        <v>46614</v>
      </c>
      <c r="O333" s="31" t="n">
        <f aca="false">INDEX($B$17:$H$17,WEEKDAY(N333,2))</f>
        <v>0</v>
      </c>
      <c r="P333" s="31" t="n">
        <f aca="false">SUM(O$5:O333)</f>
        <v>235</v>
      </c>
      <c r="Q333" s="30" t="n">
        <f aca="false">Q332+1</f>
        <v>46614</v>
      </c>
      <c r="R333" s="31" t="n">
        <f aca="false">INDEX($B$27:$H$27,WEEKDAY(Q333,2))</f>
        <v>0</v>
      </c>
      <c r="S333" s="31" t="n">
        <f aca="false">SUM(R$5:R333)</f>
        <v>235</v>
      </c>
    </row>
    <row r="334" customFormat="false" ht="15" hidden="false" customHeight="false" outlineLevel="0" collapsed="false">
      <c r="K334" s="30" t="n">
        <f aca="false">K333+1</f>
        <v>46615</v>
      </c>
      <c r="L334" s="31" t="n">
        <f aca="false">INDEX($B$7:$H$7,WEEKDAY(K334,2))</f>
        <v>1</v>
      </c>
      <c r="M334" s="31" t="n">
        <f aca="false">SUM(L$5:L334)</f>
        <v>236</v>
      </c>
      <c r="N334" s="30" t="n">
        <f aca="false">N333+1</f>
        <v>46615</v>
      </c>
      <c r="O334" s="31" t="n">
        <f aca="false">INDEX($B$17:$H$17,WEEKDAY(N334,2))</f>
        <v>1</v>
      </c>
      <c r="P334" s="31" t="n">
        <f aca="false">SUM(O$5:O334)</f>
        <v>236</v>
      </c>
      <c r="Q334" s="30" t="n">
        <f aca="false">Q333+1</f>
        <v>46615</v>
      </c>
      <c r="R334" s="31" t="n">
        <f aca="false">INDEX($B$27:$H$27,WEEKDAY(Q334,2))</f>
        <v>1</v>
      </c>
      <c r="S334" s="31" t="n">
        <f aca="false">SUM(R$5:R334)</f>
        <v>236</v>
      </c>
    </row>
    <row r="335" customFormat="false" ht="15" hidden="false" customHeight="false" outlineLevel="0" collapsed="false">
      <c r="K335" s="30" t="n">
        <f aca="false">K334+1</f>
        <v>46616</v>
      </c>
      <c r="L335" s="31" t="n">
        <f aca="false">INDEX($B$7:$H$7,WEEKDAY(K335,2))</f>
        <v>1</v>
      </c>
      <c r="M335" s="31" t="n">
        <f aca="false">SUM(L$5:L335)</f>
        <v>237</v>
      </c>
      <c r="N335" s="30" t="n">
        <f aca="false">N334+1</f>
        <v>46616</v>
      </c>
      <c r="O335" s="31" t="n">
        <f aca="false">INDEX($B$17:$H$17,WEEKDAY(N335,2))</f>
        <v>1</v>
      </c>
      <c r="P335" s="31" t="n">
        <f aca="false">SUM(O$5:O335)</f>
        <v>237</v>
      </c>
      <c r="Q335" s="30" t="n">
        <f aca="false">Q334+1</f>
        <v>46616</v>
      </c>
      <c r="R335" s="31" t="n">
        <f aca="false">INDEX($B$27:$H$27,WEEKDAY(Q335,2))</f>
        <v>1</v>
      </c>
      <c r="S335" s="31" t="n">
        <f aca="false">SUM(R$5:R335)</f>
        <v>237</v>
      </c>
    </row>
    <row r="336" customFormat="false" ht="15" hidden="false" customHeight="false" outlineLevel="0" collapsed="false">
      <c r="K336" s="30" t="n">
        <f aca="false">K335+1</f>
        <v>46617</v>
      </c>
      <c r="L336" s="31" t="n">
        <f aca="false">INDEX($B$7:$H$7,WEEKDAY(K336,2))</f>
        <v>1</v>
      </c>
      <c r="M336" s="31" t="n">
        <f aca="false">SUM(L$5:L336)</f>
        <v>238</v>
      </c>
      <c r="N336" s="30" t="n">
        <f aca="false">N335+1</f>
        <v>46617</v>
      </c>
      <c r="O336" s="31" t="n">
        <f aca="false">INDEX($B$17:$H$17,WEEKDAY(N336,2))</f>
        <v>1</v>
      </c>
      <c r="P336" s="31" t="n">
        <f aca="false">SUM(O$5:O336)</f>
        <v>238</v>
      </c>
      <c r="Q336" s="30" t="n">
        <f aca="false">Q335+1</f>
        <v>46617</v>
      </c>
      <c r="R336" s="31" t="n">
        <f aca="false">INDEX($B$27:$H$27,WEEKDAY(Q336,2))</f>
        <v>1</v>
      </c>
      <c r="S336" s="31" t="n">
        <f aca="false">SUM(R$5:R336)</f>
        <v>238</v>
      </c>
    </row>
    <row r="337" customFormat="false" ht="15" hidden="false" customHeight="false" outlineLevel="0" collapsed="false">
      <c r="K337" s="30" t="n">
        <f aca="false">K336+1</f>
        <v>46618</v>
      </c>
      <c r="L337" s="31" t="n">
        <f aca="false">INDEX($B$7:$H$7,WEEKDAY(K337,2))</f>
        <v>1</v>
      </c>
      <c r="M337" s="31" t="n">
        <f aca="false">SUM(L$5:L337)</f>
        <v>239</v>
      </c>
      <c r="N337" s="30" t="n">
        <f aca="false">N336+1</f>
        <v>46618</v>
      </c>
      <c r="O337" s="31" t="n">
        <f aca="false">INDEX($B$17:$H$17,WEEKDAY(N337,2))</f>
        <v>1</v>
      </c>
      <c r="P337" s="31" t="n">
        <f aca="false">SUM(O$5:O337)</f>
        <v>239</v>
      </c>
      <c r="Q337" s="30" t="n">
        <f aca="false">Q336+1</f>
        <v>46618</v>
      </c>
      <c r="R337" s="31" t="n">
        <f aca="false">INDEX($B$27:$H$27,WEEKDAY(Q337,2))</f>
        <v>1</v>
      </c>
      <c r="S337" s="31" t="n">
        <f aca="false">SUM(R$5:R337)</f>
        <v>239</v>
      </c>
    </row>
    <row r="338" customFormat="false" ht="15" hidden="false" customHeight="false" outlineLevel="0" collapsed="false">
      <c r="K338" s="30" t="n">
        <f aca="false">K337+1</f>
        <v>46619</v>
      </c>
      <c r="L338" s="31" t="n">
        <f aca="false">INDEX($B$7:$H$7,WEEKDAY(K338,2))</f>
        <v>1</v>
      </c>
      <c r="M338" s="31" t="n">
        <f aca="false">SUM(L$5:L338)</f>
        <v>240</v>
      </c>
      <c r="N338" s="30" t="n">
        <f aca="false">N337+1</f>
        <v>46619</v>
      </c>
      <c r="O338" s="31" t="n">
        <f aca="false">INDEX($B$17:$H$17,WEEKDAY(N338,2))</f>
        <v>1</v>
      </c>
      <c r="P338" s="31" t="n">
        <f aca="false">SUM(O$5:O338)</f>
        <v>240</v>
      </c>
      <c r="Q338" s="30" t="n">
        <f aca="false">Q337+1</f>
        <v>46619</v>
      </c>
      <c r="R338" s="31" t="n">
        <f aca="false">INDEX($B$27:$H$27,WEEKDAY(Q338,2))</f>
        <v>1</v>
      </c>
      <c r="S338" s="31" t="n">
        <f aca="false">SUM(R$5:R338)</f>
        <v>240</v>
      </c>
    </row>
    <row r="339" customFormat="false" ht="15" hidden="false" customHeight="false" outlineLevel="0" collapsed="false">
      <c r="K339" s="30" t="n">
        <f aca="false">K338+1</f>
        <v>46620</v>
      </c>
      <c r="L339" s="31" t="n">
        <f aca="false">INDEX($B$7:$H$7,WEEKDAY(K339,2))</f>
        <v>0</v>
      </c>
      <c r="M339" s="31" t="n">
        <f aca="false">SUM(L$5:L339)</f>
        <v>240</v>
      </c>
      <c r="N339" s="30" t="n">
        <f aca="false">N338+1</f>
        <v>46620</v>
      </c>
      <c r="O339" s="31" t="n">
        <f aca="false">INDEX($B$17:$H$17,WEEKDAY(N339,2))</f>
        <v>0</v>
      </c>
      <c r="P339" s="31" t="n">
        <f aca="false">SUM(O$5:O339)</f>
        <v>240</v>
      </c>
      <c r="Q339" s="30" t="n">
        <f aca="false">Q338+1</f>
        <v>46620</v>
      </c>
      <c r="R339" s="31" t="n">
        <f aca="false">INDEX($B$27:$H$27,WEEKDAY(Q339,2))</f>
        <v>0</v>
      </c>
      <c r="S339" s="31" t="n">
        <f aca="false">SUM(R$5:R339)</f>
        <v>240</v>
      </c>
    </row>
    <row r="340" customFormat="false" ht="15" hidden="false" customHeight="false" outlineLevel="0" collapsed="false">
      <c r="K340" s="30" t="n">
        <f aca="false">K339+1</f>
        <v>46621</v>
      </c>
      <c r="L340" s="31" t="n">
        <f aca="false">INDEX($B$7:$H$7,WEEKDAY(K340,2))</f>
        <v>0</v>
      </c>
      <c r="M340" s="31" t="n">
        <f aca="false">SUM(L$5:L340)</f>
        <v>240</v>
      </c>
      <c r="N340" s="30" t="n">
        <f aca="false">N339+1</f>
        <v>46621</v>
      </c>
      <c r="O340" s="31" t="n">
        <f aca="false">INDEX($B$17:$H$17,WEEKDAY(N340,2))</f>
        <v>0</v>
      </c>
      <c r="P340" s="31" t="n">
        <f aca="false">SUM(O$5:O340)</f>
        <v>240</v>
      </c>
      <c r="Q340" s="30" t="n">
        <f aca="false">Q339+1</f>
        <v>46621</v>
      </c>
      <c r="R340" s="31" t="n">
        <f aca="false">INDEX($B$27:$H$27,WEEKDAY(Q340,2))</f>
        <v>0</v>
      </c>
      <c r="S340" s="31" t="n">
        <f aca="false">SUM(R$5:R340)</f>
        <v>240</v>
      </c>
    </row>
    <row r="341" customFormat="false" ht="15" hidden="false" customHeight="false" outlineLevel="0" collapsed="false">
      <c r="K341" s="30" t="n">
        <f aca="false">K340+1</f>
        <v>46622</v>
      </c>
      <c r="L341" s="31" t="n">
        <f aca="false">INDEX($B$7:$H$7,WEEKDAY(K341,2))</f>
        <v>1</v>
      </c>
      <c r="M341" s="31" t="n">
        <f aca="false">SUM(L$5:L341)</f>
        <v>241</v>
      </c>
      <c r="N341" s="30" t="n">
        <f aca="false">N340+1</f>
        <v>46622</v>
      </c>
      <c r="O341" s="31" t="n">
        <f aca="false">INDEX($B$17:$H$17,WEEKDAY(N341,2))</f>
        <v>1</v>
      </c>
      <c r="P341" s="31" t="n">
        <f aca="false">SUM(O$5:O341)</f>
        <v>241</v>
      </c>
      <c r="Q341" s="30" t="n">
        <f aca="false">Q340+1</f>
        <v>46622</v>
      </c>
      <c r="R341" s="31" t="n">
        <f aca="false">INDEX($B$27:$H$27,WEEKDAY(Q341,2))</f>
        <v>1</v>
      </c>
      <c r="S341" s="31" t="n">
        <f aca="false">SUM(R$5:R341)</f>
        <v>241</v>
      </c>
    </row>
    <row r="342" customFormat="false" ht="15" hidden="false" customHeight="false" outlineLevel="0" collapsed="false">
      <c r="K342" s="30" t="n">
        <f aca="false">K341+1</f>
        <v>46623</v>
      </c>
      <c r="L342" s="31" t="n">
        <f aca="false">INDEX($B$7:$H$7,WEEKDAY(K342,2))</f>
        <v>1</v>
      </c>
      <c r="M342" s="31" t="n">
        <f aca="false">SUM(L$5:L342)</f>
        <v>242</v>
      </c>
      <c r="N342" s="30" t="n">
        <f aca="false">N341+1</f>
        <v>46623</v>
      </c>
      <c r="O342" s="31" t="n">
        <f aca="false">INDEX($B$17:$H$17,WEEKDAY(N342,2))</f>
        <v>1</v>
      </c>
      <c r="P342" s="31" t="n">
        <f aca="false">SUM(O$5:O342)</f>
        <v>242</v>
      </c>
      <c r="Q342" s="30" t="n">
        <f aca="false">Q341+1</f>
        <v>46623</v>
      </c>
      <c r="R342" s="31" t="n">
        <f aca="false">INDEX($B$27:$H$27,WEEKDAY(Q342,2))</f>
        <v>1</v>
      </c>
      <c r="S342" s="31" t="n">
        <f aca="false">SUM(R$5:R342)</f>
        <v>242</v>
      </c>
    </row>
    <row r="343" customFormat="false" ht="15" hidden="false" customHeight="false" outlineLevel="0" collapsed="false">
      <c r="K343" s="30" t="n">
        <f aca="false">K342+1</f>
        <v>46624</v>
      </c>
      <c r="L343" s="31" t="n">
        <f aca="false">INDEX($B$7:$H$7,WEEKDAY(K343,2))</f>
        <v>1</v>
      </c>
      <c r="M343" s="31" t="n">
        <f aca="false">SUM(L$5:L343)</f>
        <v>243</v>
      </c>
      <c r="N343" s="30" t="n">
        <f aca="false">N342+1</f>
        <v>46624</v>
      </c>
      <c r="O343" s="31" t="n">
        <f aca="false">INDEX($B$17:$H$17,WEEKDAY(N343,2))</f>
        <v>1</v>
      </c>
      <c r="P343" s="31" t="n">
        <f aca="false">SUM(O$5:O343)</f>
        <v>243</v>
      </c>
      <c r="Q343" s="30" t="n">
        <f aca="false">Q342+1</f>
        <v>46624</v>
      </c>
      <c r="R343" s="31" t="n">
        <f aca="false">INDEX($B$27:$H$27,WEEKDAY(Q343,2))</f>
        <v>1</v>
      </c>
      <c r="S343" s="31" t="n">
        <f aca="false">SUM(R$5:R343)</f>
        <v>243</v>
      </c>
    </row>
    <row r="344" customFormat="false" ht="15" hidden="false" customHeight="false" outlineLevel="0" collapsed="false">
      <c r="K344" s="30" t="n">
        <f aca="false">K343+1</f>
        <v>46625</v>
      </c>
      <c r="L344" s="31" t="n">
        <f aca="false">INDEX($B$7:$H$7,WEEKDAY(K344,2))</f>
        <v>1</v>
      </c>
      <c r="M344" s="31" t="n">
        <f aca="false">SUM(L$5:L344)</f>
        <v>244</v>
      </c>
      <c r="N344" s="30" t="n">
        <f aca="false">N343+1</f>
        <v>46625</v>
      </c>
      <c r="O344" s="31" t="n">
        <f aca="false">INDEX($B$17:$H$17,WEEKDAY(N344,2))</f>
        <v>1</v>
      </c>
      <c r="P344" s="31" t="n">
        <f aca="false">SUM(O$5:O344)</f>
        <v>244</v>
      </c>
      <c r="Q344" s="30" t="n">
        <f aca="false">Q343+1</f>
        <v>46625</v>
      </c>
      <c r="R344" s="31" t="n">
        <f aca="false">INDEX($B$27:$H$27,WEEKDAY(Q344,2))</f>
        <v>1</v>
      </c>
      <c r="S344" s="31" t="n">
        <f aca="false">SUM(R$5:R344)</f>
        <v>244</v>
      </c>
    </row>
    <row r="345" customFormat="false" ht="15" hidden="false" customHeight="false" outlineLevel="0" collapsed="false">
      <c r="K345" s="30" t="n">
        <f aca="false">K344+1</f>
        <v>46626</v>
      </c>
      <c r="L345" s="31" t="n">
        <f aca="false">INDEX($B$7:$H$7,WEEKDAY(K345,2))</f>
        <v>1</v>
      </c>
      <c r="M345" s="31" t="n">
        <f aca="false">SUM(L$5:L345)</f>
        <v>245</v>
      </c>
      <c r="N345" s="30" t="n">
        <f aca="false">N344+1</f>
        <v>46626</v>
      </c>
      <c r="O345" s="31" t="n">
        <f aca="false">INDEX($B$17:$H$17,WEEKDAY(N345,2))</f>
        <v>1</v>
      </c>
      <c r="P345" s="31" t="n">
        <f aca="false">SUM(O$5:O345)</f>
        <v>245</v>
      </c>
      <c r="Q345" s="30" t="n">
        <f aca="false">Q344+1</f>
        <v>46626</v>
      </c>
      <c r="R345" s="31" t="n">
        <f aca="false">INDEX($B$27:$H$27,WEEKDAY(Q345,2))</f>
        <v>1</v>
      </c>
      <c r="S345" s="31" t="n">
        <f aca="false">SUM(R$5:R345)</f>
        <v>245</v>
      </c>
    </row>
    <row r="346" customFormat="false" ht="15" hidden="false" customHeight="false" outlineLevel="0" collapsed="false">
      <c r="K346" s="30" t="n">
        <f aca="false">K345+1</f>
        <v>46627</v>
      </c>
      <c r="L346" s="31" t="n">
        <f aca="false">INDEX($B$7:$H$7,WEEKDAY(K346,2))</f>
        <v>0</v>
      </c>
      <c r="M346" s="31" t="n">
        <f aca="false">SUM(L$5:L346)</f>
        <v>245</v>
      </c>
      <c r="N346" s="30" t="n">
        <f aca="false">N345+1</f>
        <v>46627</v>
      </c>
      <c r="O346" s="31" t="n">
        <f aca="false">INDEX($B$17:$H$17,WEEKDAY(N346,2))</f>
        <v>0</v>
      </c>
      <c r="P346" s="31" t="n">
        <f aca="false">SUM(O$5:O346)</f>
        <v>245</v>
      </c>
      <c r="Q346" s="30" t="n">
        <f aca="false">Q345+1</f>
        <v>46627</v>
      </c>
      <c r="R346" s="31" t="n">
        <f aca="false">INDEX($B$27:$H$27,WEEKDAY(Q346,2))</f>
        <v>0</v>
      </c>
      <c r="S346" s="31" t="n">
        <f aca="false">SUM(R$5:R346)</f>
        <v>245</v>
      </c>
    </row>
    <row r="347" customFormat="false" ht="15" hidden="false" customHeight="false" outlineLevel="0" collapsed="false">
      <c r="K347" s="30" t="n">
        <f aca="false">K346+1</f>
        <v>46628</v>
      </c>
      <c r="L347" s="31" t="n">
        <f aca="false">INDEX($B$7:$H$7,WEEKDAY(K347,2))</f>
        <v>0</v>
      </c>
      <c r="M347" s="31" t="n">
        <f aca="false">SUM(L$5:L347)</f>
        <v>245</v>
      </c>
      <c r="N347" s="30" t="n">
        <f aca="false">N346+1</f>
        <v>46628</v>
      </c>
      <c r="O347" s="31" t="n">
        <f aca="false">INDEX($B$17:$H$17,WEEKDAY(N347,2))</f>
        <v>0</v>
      </c>
      <c r="P347" s="31" t="n">
        <f aca="false">SUM(O$5:O347)</f>
        <v>245</v>
      </c>
      <c r="Q347" s="30" t="n">
        <f aca="false">Q346+1</f>
        <v>46628</v>
      </c>
      <c r="R347" s="31" t="n">
        <f aca="false">INDEX($B$27:$H$27,WEEKDAY(Q347,2))</f>
        <v>0</v>
      </c>
      <c r="S347" s="31" t="n">
        <f aca="false">SUM(R$5:R347)</f>
        <v>245</v>
      </c>
    </row>
    <row r="348" customFormat="false" ht="15" hidden="false" customHeight="false" outlineLevel="0" collapsed="false">
      <c r="K348" s="30" t="n">
        <f aca="false">K347+1</f>
        <v>46629</v>
      </c>
      <c r="L348" s="31" t="n">
        <f aca="false">INDEX($B$7:$H$7,WEEKDAY(K348,2))</f>
        <v>1</v>
      </c>
      <c r="M348" s="31" t="n">
        <f aca="false">SUM(L$5:L348)</f>
        <v>246</v>
      </c>
      <c r="N348" s="30" t="n">
        <f aca="false">N347+1</f>
        <v>46629</v>
      </c>
      <c r="O348" s="31" t="n">
        <f aca="false">INDEX($B$17:$H$17,WEEKDAY(N348,2))</f>
        <v>1</v>
      </c>
      <c r="P348" s="31" t="n">
        <f aca="false">SUM(O$5:O348)</f>
        <v>246</v>
      </c>
      <c r="Q348" s="30" t="n">
        <f aca="false">Q347+1</f>
        <v>46629</v>
      </c>
      <c r="R348" s="31" t="n">
        <f aca="false">INDEX($B$27:$H$27,WEEKDAY(Q348,2))</f>
        <v>1</v>
      </c>
      <c r="S348" s="31" t="n">
        <f aca="false">SUM(R$5:R348)</f>
        <v>246</v>
      </c>
    </row>
    <row r="349" customFormat="false" ht="15" hidden="false" customHeight="false" outlineLevel="0" collapsed="false">
      <c r="K349" s="30" t="n">
        <f aca="false">K348+1</f>
        <v>46630</v>
      </c>
      <c r="L349" s="31" t="n">
        <f aca="false">INDEX($B$7:$H$7,WEEKDAY(K349,2))</f>
        <v>1</v>
      </c>
      <c r="M349" s="31" t="n">
        <f aca="false">SUM(L$5:L349)</f>
        <v>247</v>
      </c>
      <c r="N349" s="30" t="n">
        <f aca="false">N348+1</f>
        <v>46630</v>
      </c>
      <c r="O349" s="31" t="n">
        <f aca="false">INDEX($B$17:$H$17,WEEKDAY(N349,2))</f>
        <v>1</v>
      </c>
      <c r="P349" s="31" t="n">
        <f aca="false">SUM(O$5:O349)</f>
        <v>247</v>
      </c>
      <c r="Q349" s="30" t="n">
        <f aca="false">Q348+1</f>
        <v>46630</v>
      </c>
      <c r="R349" s="31" t="n">
        <f aca="false">INDEX($B$27:$H$27,WEEKDAY(Q349,2))</f>
        <v>1</v>
      </c>
      <c r="S349" s="31" t="n">
        <f aca="false">SUM(R$5:R349)</f>
        <v>247</v>
      </c>
    </row>
    <row r="350" customFormat="false" ht="15" hidden="false" customHeight="false" outlineLevel="0" collapsed="false">
      <c r="K350" s="30" t="n">
        <f aca="false">K349+1</f>
        <v>46631</v>
      </c>
      <c r="L350" s="31" t="n">
        <f aca="false">INDEX($B$7:$H$7,WEEKDAY(K350,2))</f>
        <v>1</v>
      </c>
      <c r="M350" s="31" t="n">
        <f aca="false">SUM(L$5:L350)</f>
        <v>248</v>
      </c>
      <c r="N350" s="30" t="n">
        <f aca="false">N349+1</f>
        <v>46631</v>
      </c>
      <c r="O350" s="31" t="n">
        <f aca="false">INDEX($B$17:$H$17,WEEKDAY(N350,2))</f>
        <v>1</v>
      </c>
      <c r="P350" s="31" t="n">
        <f aca="false">SUM(O$5:O350)</f>
        <v>248</v>
      </c>
      <c r="Q350" s="30" t="n">
        <f aca="false">Q349+1</f>
        <v>46631</v>
      </c>
      <c r="R350" s="31" t="n">
        <f aca="false">INDEX($B$27:$H$27,WEEKDAY(Q350,2))</f>
        <v>1</v>
      </c>
      <c r="S350" s="31" t="n">
        <f aca="false">SUM(R$5:R350)</f>
        <v>248</v>
      </c>
    </row>
    <row r="351" customFormat="false" ht="15" hidden="false" customHeight="false" outlineLevel="0" collapsed="false">
      <c r="K351" s="30" t="n">
        <f aca="false">K350+1</f>
        <v>46632</v>
      </c>
      <c r="L351" s="31" t="n">
        <f aca="false">INDEX($B$7:$H$7,WEEKDAY(K351,2))</f>
        <v>1</v>
      </c>
      <c r="M351" s="31" t="n">
        <f aca="false">SUM(L$5:L351)</f>
        <v>249</v>
      </c>
      <c r="N351" s="30" t="n">
        <f aca="false">N350+1</f>
        <v>46632</v>
      </c>
      <c r="O351" s="31" t="n">
        <f aca="false">INDEX($B$17:$H$17,WEEKDAY(N351,2))</f>
        <v>1</v>
      </c>
      <c r="P351" s="31" t="n">
        <f aca="false">SUM(O$5:O351)</f>
        <v>249</v>
      </c>
      <c r="Q351" s="30" t="n">
        <f aca="false">Q350+1</f>
        <v>46632</v>
      </c>
      <c r="R351" s="31" t="n">
        <f aca="false">INDEX($B$27:$H$27,WEEKDAY(Q351,2))</f>
        <v>1</v>
      </c>
      <c r="S351" s="31" t="n">
        <f aca="false">SUM(R$5:R351)</f>
        <v>249</v>
      </c>
    </row>
    <row r="352" customFormat="false" ht="15" hidden="false" customHeight="false" outlineLevel="0" collapsed="false">
      <c r="K352" s="30" t="n">
        <f aca="false">K351+1</f>
        <v>46633</v>
      </c>
      <c r="L352" s="31" t="n">
        <f aca="false">INDEX($B$7:$H$7,WEEKDAY(K352,2))</f>
        <v>1</v>
      </c>
      <c r="M352" s="31" t="n">
        <f aca="false">SUM(L$5:L352)</f>
        <v>250</v>
      </c>
      <c r="N352" s="30" t="n">
        <f aca="false">N351+1</f>
        <v>46633</v>
      </c>
      <c r="O352" s="31" t="n">
        <f aca="false">INDEX($B$17:$H$17,WEEKDAY(N352,2))</f>
        <v>1</v>
      </c>
      <c r="P352" s="31" t="n">
        <f aca="false">SUM(O$5:O352)</f>
        <v>250</v>
      </c>
      <c r="Q352" s="30" t="n">
        <f aca="false">Q351+1</f>
        <v>46633</v>
      </c>
      <c r="R352" s="31" t="n">
        <f aca="false">INDEX($B$27:$H$27,WEEKDAY(Q352,2))</f>
        <v>1</v>
      </c>
      <c r="S352" s="31" t="n">
        <f aca="false">SUM(R$5:R352)</f>
        <v>250</v>
      </c>
    </row>
    <row r="353" customFormat="false" ht="15" hidden="false" customHeight="false" outlineLevel="0" collapsed="false">
      <c r="K353" s="30" t="n">
        <f aca="false">K352+1</f>
        <v>46634</v>
      </c>
      <c r="L353" s="31" t="n">
        <f aca="false">INDEX($B$7:$H$7,WEEKDAY(K353,2))</f>
        <v>0</v>
      </c>
      <c r="M353" s="31" t="n">
        <f aca="false">SUM(L$5:L353)</f>
        <v>250</v>
      </c>
      <c r="N353" s="30" t="n">
        <f aca="false">N352+1</f>
        <v>46634</v>
      </c>
      <c r="O353" s="31" t="n">
        <f aca="false">INDEX($B$17:$H$17,WEEKDAY(N353,2))</f>
        <v>0</v>
      </c>
      <c r="P353" s="31" t="n">
        <f aca="false">SUM(O$5:O353)</f>
        <v>250</v>
      </c>
      <c r="Q353" s="30" t="n">
        <f aca="false">Q352+1</f>
        <v>46634</v>
      </c>
      <c r="R353" s="31" t="n">
        <f aca="false">INDEX($B$27:$H$27,WEEKDAY(Q353,2))</f>
        <v>0</v>
      </c>
      <c r="S353" s="31" t="n">
        <f aca="false">SUM(R$5:R353)</f>
        <v>250</v>
      </c>
    </row>
    <row r="354" customFormat="false" ht="15" hidden="false" customHeight="false" outlineLevel="0" collapsed="false">
      <c r="K354" s="30" t="n">
        <f aca="false">K353+1</f>
        <v>46635</v>
      </c>
      <c r="L354" s="31" t="n">
        <f aca="false">INDEX($B$7:$H$7,WEEKDAY(K354,2))</f>
        <v>0</v>
      </c>
      <c r="M354" s="31" t="n">
        <f aca="false">SUM(L$5:L354)</f>
        <v>250</v>
      </c>
      <c r="N354" s="30" t="n">
        <f aca="false">N353+1</f>
        <v>46635</v>
      </c>
      <c r="O354" s="31" t="n">
        <f aca="false">INDEX($B$17:$H$17,WEEKDAY(N354,2))</f>
        <v>0</v>
      </c>
      <c r="P354" s="31" t="n">
        <f aca="false">SUM(O$5:O354)</f>
        <v>250</v>
      </c>
      <c r="Q354" s="30" t="n">
        <f aca="false">Q353+1</f>
        <v>46635</v>
      </c>
      <c r="R354" s="31" t="n">
        <f aca="false">INDEX($B$27:$H$27,WEEKDAY(Q354,2))</f>
        <v>0</v>
      </c>
      <c r="S354" s="31" t="n">
        <f aca="false">SUM(R$5:R354)</f>
        <v>250</v>
      </c>
    </row>
    <row r="355" customFormat="false" ht="15" hidden="false" customHeight="false" outlineLevel="0" collapsed="false">
      <c r="K355" s="30" t="n">
        <f aca="false">K354+1</f>
        <v>46636</v>
      </c>
      <c r="L355" s="31" t="n">
        <f aca="false">INDEX($B$7:$H$7,WEEKDAY(K355,2))</f>
        <v>1</v>
      </c>
      <c r="M355" s="31" t="n">
        <f aca="false">SUM(L$5:L355)</f>
        <v>251</v>
      </c>
      <c r="N355" s="30" t="n">
        <f aca="false">N354+1</f>
        <v>46636</v>
      </c>
      <c r="O355" s="31" t="n">
        <f aca="false">INDEX($B$17:$H$17,WEEKDAY(N355,2))</f>
        <v>1</v>
      </c>
      <c r="P355" s="31" t="n">
        <f aca="false">SUM(O$5:O355)</f>
        <v>251</v>
      </c>
      <c r="Q355" s="30" t="n">
        <f aca="false">Q354+1</f>
        <v>46636</v>
      </c>
      <c r="R355" s="31" t="n">
        <f aca="false">INDEX($B$27:$H$27,WEEKDAY(Q355,2))</f>
        <v>1</v>
      </c>
      <c r="S355" s="31" t="n">
        <f aca="false">SUM(R$5:R355)</f>
        <v>251</v>
      </c>
    </row>
    <row r="356" customFormat="false" ht="15" hidden="false" customHeight="false" outlineLevel="0" collapsed="false">
      <c r="K356" s="30" t="n">
        <f aca="false">K355+1</f>
        <v>46637</v>
      </c>
      <c r="L356" s="31" t="n">
        <f aca="false">INDEX($B$7:$H$7,WEEKDAY(K356,2))</f>
        <v>1</v>
      </c>
      <c r="M356" s="31" t="n">
        <f aca="false">SUM(L$5:L356)</f>
        <v>252</v>
      </c>
      <c r="N356" s="30" t="n">
        <f aca="false">N355+1</f>
        <v>46637</v>
      </c>
      <c r="O356" s="31" t="n">
        <f aca="false">INDEX($B$17:$H$17,WEEKDAY(N356,2))</f>
        <v>1</v>
      </c>
      <c r="P356" s="31" t="n">
        <f aca="false">SUM(O$5:O356)</f>
        <v>252</v>
      </c>
      <c r="Q356" s="30" t="n">
        <f aca="false">Q355+1</f>
        <v>46637</v>
      </c>
      <c r="R356" s="31" t="n">
        <f aca="false">INDEX($B$27:$H$27,WEEKDAY(Q356,2))</f>
        <v>1</v>
      </c>
      <c r="S356" s="31" t="n">
        <f aca="false">SUM(R$5:R356)</f>
        <v>252</v>
      </c>
    </row>
    <row r="357" customFormat="false" ht="15" hidden="false" customHeight="false" outlineLevel="0" collapsed="false">
      <c r="K357" s="30" t="n">
        <f aca="false">K356+1</f>
        <v>46638</v>
      </c>
      <c r="L357" s="31" t="n">
        <f aca="false">INDEX($B$7:$H$7,WEEKDAY(K357,2))</f>
        <v>1</v>
      </c>
      <c r="M357" s="31" t="n">
        <f aca="false">SUM(L$5:L357)</f>
        <v>253</v>
      </c>
      <c r="N357" s="30" t="n">
        <f aca="false">N356+1</f>
        <v>46638</v>
      </c>
      <c r="O357" s="31" t="n">
        <f aca="false">INDEX($B$17:$H$17,WEEKDAY(N357,2))</f>
        <v>1</v>
      </c>
      <c r="P357" s="31" t="n">
        <f aca="false">SUM(O$5:O357)</f>
        <v>253</v>
      </c>
      <c r="Q357" s="30" t="n">
        <f aca="false">Q356+1</f>
        <v>46638</v>
      </c>
      <c r="R357" s="31" t="n">
        <f aca="false">INDEX($B$27:$H$27,WEEKDAY(Q357,2))</f>
        <v>1</v>
      </c>
      <c r="S357" s="31" t="n">
        <f aca="false">SUM(R$5:R357)</f>
        <v>253</v>
      </c>
    </row>
    <row r="358" customFormat="false" ht="15" hidden="false" customHeight="false" outlineLevel="0" collapsed="false">
      <c r="K358" s="30" t="n">
        <f aca="false">K357+1</f>
        <v>46639</v>
      </c>
      <c r="L358" s="31" t="n">
        <f aca="false">INDEX($B$7:$H$7,WEEKDAY(K358,2))</f>
        <v>1</v>
      </c>
      <c r="M358" s="31" t="n">
        <f aca="false">SUM(L$5:L358)</f>
        <v>254</v>
      </c>
      <c r="N358" s="30" t="n">
        <f aca="false">N357+1</f>
        <v>46639</v>
      </c>
      <c r="O358" s="31" t="n">
        <f aca="false">INDEX($B$17:$H$17,WEEKDAY(N358,2))</f>
        <v>1</v>
      </c>
      <c r="P358" s="31" t="n">
        <f aca="false">SUM(O$5:O358)</f>
        <v>254</v>
      </c>
      <c r="Q358" s="30" t="n">
        <f aca="false">Q357+1</f>
        <v>46639</v>
      </c>
      <c r="R358" s="31" t="n">
        <f aca="false">INDEX($B$27:$H$27,WEEKDAY(Q358,2))</f>
        <v>1</v>
      </c>
      <c r="S358" s="31" t="n">
        <f aca="false">SUM(R$5:R358)</f>
        <v>254</v>
      </c>
    </row>
    <row r="359" customFormat="false" ht="15" hidden="false" customHeight="false" outlineLevel="0" collapsed="false">
      <c r="K359" s="30" t="n">
        <f aca="false">K358+1</f>
        <v>46640</v>
      </c>
      <c r="L359" s="31" t="n">
        <f aca="false">INDEX($B$7:$H$7,WEEKDAY(K359,2))</f>
        <v>1</v>
      </c>
      <c r="M359" s="31" t="n">
        <f aca="false">SUM(L$5:L359)</f>
        <v>255</v>
      </c>
      <c r="N359" s="30" t="n">
        <f aca="false">N358+1</f>
        <v>46640</v>
      </c>
      <c r="O359" s="31" t="n">
        <f aca="false">INDEX($B$17:$H$17,WEEKDAY(N359,2))</f>
        <v>1</v>
      </c>
      <c r="P359" s="31" t="n">
        <f aca="false">SUM(O$5:O359)</f>
        <v>255</v>
      </c>
      <c r="Q359" s="30" t="n">
        <f aca="false">Q358+1</f>
        <v>46640</v>
      </c>
      <c r="R359" s="31" t="n">
        <f aca="false">INDEX($B$27:$H$27,WEEKDAY(Q359,2))</f>
        <v>1</v>
      </c>
      <c r="S359" s="31" t="n">
        <f aca="false">SUM(R$5:R359)</f>
        <v>255</v>
      </c>
    </row>
    <row r="360" customFormat="false" ht="15" hidden="false" customHeight="false" outlineLevel="0" collapsed="false">
      <c r="K360" s="30" t="n">
        <f aca="false">K359+1</f>
        <v>46641</v>
      </c>
      <c r="L360" s="31" t="n">
        <f aca="false">INDEX($B$7:$H$7,WEEKDAY(K360,2))</f>
        <v>0</v>
      </c>
      <c r="M360" s="31" t="n">
        <f aca="false">SUM(L$5:L360)</f>
        <v>255</v>
      </c>
      <c r="N360" s="30" t="n">
        <f aca="false">N359+1</f>
        <v>46641</v>
      </c>
      <c r="O360" s="31" t="n">
        <f aca="false">INDEX($B$17:$H$17,WEEKDAY(N360,2))</f>
        <v>0</v>
      </c>
      <c r="P360" s="31" t="n">
        <f aca="false">SUM(O$5:O360)</f>
        <v>255</v>
      </c>
      <c r="Q360" s="30" t="n">
        <f aca="false">Q359+1</f>
        <v>46641</v>
      </c>
      <c r="R360" s="31" t="n">
        <f aca="false">INDEX($B$27:$H$27,WEEKDAY(Q360,2))</f>
        <v>0</v>
      </c>
      <c r="S360" s="31" t="n">
        <f aca="false">SUM(R$5:R360)</f>
        <v>255</v>
      </c>
    </row>
    <row r="361" customFormat="false" ht="15" hidden="false" customHeight="false" outlineLevel="0" collapsed="false">
      <c r="K361" s="30" t="n">
        <f aca="false">K360+1</f>
        <v>46642</v>
      </c>
      <c r="L361" s="31" t="n">
        <f aca="false">INDEX($B$7:$H$7,WEEKDAY(K361,2))</f>
        <v>0</v>
      </c>
      <c r="M361" s="31" t="n">
        <f aca="false">SUM(L$5:L361)</f>
        <v>255</v>
      </c>
      <c r="N361" s="30" t="n">
        <f aca="false">N360+1</f>
        <v>46642</v>
      </c>
      <c r="O361" s="31" t="n">
        <f aca="false">INDEX($B$17:$H$17,WEEKDAY(N361,2))</f>
        <v>0</v>
      </c>
      <c r="P361" s="31" t="n">
        <f aca="false">SUM(O$5:O361)</f>
        <v>255</v>
      </c>
      <c r="Q361" s="30" t="n">
        <f aca="false">Q360+1</f>
        <v>46642</v>
      </c>
      <c r="R361" s="31" t="n">
        <f aca="false">INDEX($B$27:$H$27,WEEKDAY(Q361,2))</f>
        <v>0</v>
      </c>
      <c r="S361" s="31" t="n">
        <f aca="false">SUM(R$5:R361)</f>
        <v>255</v>
      </c>
    </row>
    <row r="362" customFormat="false" ht="15" hidden="false" customHeight="false" outlineLevel="0" collapsed="false">
      <c r="K362" s="30" t="n">
        <f aca="false">K361+1</f>
        <v>46643</v>
      </c>
      <c r="L362" s="31" t="n">
        <f aca="false">INDEX($B$7:$H$7,WEEKDAY(K362,2))</f>
        <v>1</v>
      </c>
      <c r="M362" s="31" t="n">
        <f aca="false">SUM(L$5:L362)</f>
        <v>256</v>
      </c>
      <c r="N362" s="30" t="n">
        <f aca="false">N361+1</f>
        <v>46643</v>
      </c>
      <c r="O362" s="31" t="n">
        <f aca="false">INDEX($B$17:$H$17,WEEKDAY(N362,2))</f>
        <v>1</v>
      </c>
      <c r="P362" s="31" t="n">
        <f aca="false">SUM(O$5:O362)</f>
        <v>256</v>
      </c>
      <c r="Q362" s="30" t="n">
        <f aca="false">Q361+1</f>
        <v>46643</v>
      </c>
      <c r="R362" s="31" t="n">
        <f aca="false">INDEX($B$27:$H$27,WEEKDAY(Q362,2))</f>
        <v>1</v>
      </c>
      <c r="S362" s="31" t="n">
        <f aca="false">SUM(R$5:R362)</f>
        <v>256</v>
      </c>
    </row>
    <row r="363" customFormat="false" ht="15" hidden="false" customHeight="false" outlineLevel="0" collapsed="false">
      <c r="K363" s="30" t="n">
        <f aca="false">K362+1</f>
        <v>46644</v>
      </c>
      <c r="L363" s="31" t="n">
        <f aca="false">INDEX($B$7:$H$7,WEEKDAY(K363,2))</f>
        <v>1</v>
      </c>
      <c r="M363" s="31" t="n">
        <f aca="false">SUM(L$5:L363)</f>
        <v>257</v>
      </c>
      <c r="N363" s="30" t="n">
        <f aca="false">N362+1</f>
        <v>46644</v>
      </c>
      <c r="O363" s="31" t="n">
        <f aca="false">INDEX($B$17:$H$17,WEEKDAY(N363,2))</f>
        <v>1</v>
      </c>
      <c r="P363" s="31" t="n">
        <f aca="false">SUM(O$5:O363)</f>
        <v>257</v>
      </c>
      <c r="Q363" s="30" t="n">
        <f aca="false">Q362+1</f>
        <v>46644</v>
      </c>
      <c r="R363" s="31" t="n">
        <f aca="false">INDEX($B$27:$H$27,WEEKDAY(Q363,2))</f>
        <v>1</v>
      </c>
      <c r="S363" s="31" t="n">
        <f aca="false">SUM(R$5:R363)</f>
        <v>257</v>
      </c>
    </row>
    <row r="364" customFormat="false" ht="15" hidden="false" customHeight="false" outlineLevel="0" collapsed="false">
      <c r="K364" s="30" t="n">
        <f aca="false">K363+1</f>
        <v>46645</v>
      </c>
      <c r="L364" s="31" t="n">
        <f aca="false">INDEX($B$7:$H$7,WEEKDAY(K364,2))</f>
        <v>1</v>
      </c>
      <c r="M364" s="31" t="n">
        <f aca="false">SUM(L$5:L364)</f>
        <v>258</v>
      </c>
      <c r="N364" s="30" t="n">
        <f aca="false">N363+1</f>
        <v>46645</v>
      </c>
      <c r="O364" s="31" t="n">
        <f aca="false">INDEX($B$17:$H$17,WEEKDAY(N364,2))</f>
        <v>1</v>
      </c>
      <c r="P364" s="31" t="n">
        <f aca="false">SUM(O$5:O364)</f>
        <v>258</v>
      </c>
      <c r="Q364" s="30" t="n">
        <f aca="false">Q363+1</f>
        <v>46645</v>
      </c>
      <c r="R364" s="31" t="n">
        <f aca="false">INDEX($B$27:$H$27,WEEKDAY(Q364,2))</f>
        <v>1</v>
      </c>
      <c r="S364" s="31" t="n">
        <f aca="false">SUM(R$5:R364)</f>
        <v>258</v>
      </c>
    </row>
    <row r="365" customFormat="false" ht="15" hidden="false" customHeight="false" outlineLevel="0" collapsed="false">
      <c r="K365" s="30" t="n">
        <f aca="false">K364+1</f>
        <v>46646</v>
      </c>
      <c r="L365" s="31" t="n">
        <f aca="false">INDEX($B$7:$H$7,WEEKDAY(K365,2))</f>
        <v>1</v>
      </c>
      <c r="M365" s="31" t="n">
        <f aca="false">SUM(L$5:L365)</f>
        <v>259</v>
      </c>
      <c r="N365" s="30" t="n">
        <f aca="false">N364+1</f>
        <v>46646</v>
      </c>
      <c r="O365" s="31" t="n">
        <f aca="false">INDEX($B$17:$H$17,WEEKDAY(N365,2))</f>
        <v>1</v>
      </c>
      <c r="P365" s="31" t="n">
        <f aca="false">SUM(O$5:O365)</f>
        <v>259</v>
      </c>
      <c r="Q365" s="30" t="n">
        <f aca="false">Q364+1</f>
        <v>46646</v>
      </c>
      <c r="R365" s="31" t="n">
        <f aca="false">INDEX($B$27:$H$27,WEEKDAY(Q365,2))</f>
        <v>1</v>
      </c>
      <c r="S365" s="31" t="n">
        <f aca="false">SUM(R$5:R365)</f>
        <v>259</v>
      </c>
    </row>
    <row r="366" customFormat="false" ht="15" hidden="false" customHeight="false" outlineLevel="0" collapsed="false">
      <c r="K366" s="30" t="n">
        <f aca="false">K365+1</f>
        <v>46647</v>
      </c>
      <c r="L366" s="31" t="n">
        <f aca="false">INDEX($B$7:$H$7,WEEKDAY(K366,2))</f>
        <v>1</v>
      </c>
      <c r="M366" s="31" t="n">
        <f aca="false">SUM(L$5:L366)</f>
        <v>260</v>
      </c>
      <c r="N366" s="30" t="n">
        <f aca="false">N365+1</f>
        <v>46647</v>
      </c>
      <c r="O366" s="31" t="n">
        <f aca="false">INDEX($B$17:$H$17,WEEKDAY(N366,2))</f>
        <v>1</v>
      </c>
      <c r="P366" s="31" t="n">
        <f aca="false">SUM(O$5:O366)</f>
        <v>260</v>
      </c>
      <c r="Q366" s="30" t="n">
        <f aca="false">Q365+1</f>
        <v>46647</v>
      </c>
      <c r="R366" s="31" t="n">
        <f aca="false">INDEX($B$27:$H$27,WEEKDAY(Q366,2))</f>
        <v>1</v>
      </c>
      <c r="S366" s="31" t="n">
        <f aca="false">SUM(R$5:R366)</f>
        <v>260</v>
      </c>
    </row>
    <row r="367" customFormat="false" ht="15" hidden="false" customHeight="false" outlineLevel="0" collapsed="false">
      <c r="K367" s="30" t="n">
        <f aca="false">K366+1</f>
        <v>46648</v>
      </c>
      <c r="L367" s="31" t="n">
        <f aca="false">INDEX($B$7:$H$7,WEEKDAY(K367,2))</f>
        <v>0</v>
      </c>
      <c r="M367" s="31" t="n">
        <f aca="false">SUM(L$5:L367)</f>
        <v>260</v>
      </c>
      <c r="N367" s="30" t="n">
        <f aca="false">N366+1</f>
        <v>46648</v>
      </c>
      <c r="O367" s="31" t="n">
        <f aca="false">INDEX($B$17:$H$17,WEEKDAY(N367,2))</f>
        <v>0</v>
      </c>
      <c r="P367" s="31" t="n">
        <f aca="false">SUM(O$5:O367)</f>
        <v>260</v>
      </c>
      <c r="Q367" s="30" t="n">
        <f aca="false">Q366+1</f>
        <v>46648</v>
      </c>
      <c r="R367" s="31" t="n">
        <f aca="false">INDEX($B$27:$H$27,WEEKDAY(Q367,2))</f>
        <v>0</v>
      </c>
      <c r="S367" s="31" t="n">
        <f aca="false">SUM(R$5:R367)</f>
        <v>260</v>
      </c>
    </row>
    <row r="368" customFormat="false" ht="15" hidden="false" customHeight="false" outlineLevel="0" collapsed="false">
      <c r="K368" s="30" t="n">
        <f aca="false">K367+1</f>
        <v>46649</v>
      </c>
      <c r="L368" s="31" t="n">
        <f aca="false">INDEX($B$7:$H$7,WEEKDAY(K368,2))</f>
        <v>0</v>
      </c>
      <c r="M368" s="31" t="n">
        <f aca="false">SUM(L$5:L368)</f>
        <v>260</v>
      </c>
      <c r="N368" s="30" t="n">
        <f aca="false">N367+1</f>
        <v>46649</v>
      </c>
      <c r="O368" s="31" t="n">
        <f aca="false">INDEX($B$17:$H$17,WEEKDAY(N368,2))</f>
        <v>0</v>
      </c>
      <c r="P368" s="31" t="n">
        <f aca="false">SUM(O$5:O368)</f>
        <v>260</v>
      </c>
      <c r="Q368" s="30" t="n">
        <f aca="false">Q367+1</f>
        <v>46649</v>
      </c>
      <c r="R368" s="31" t="n">
        <f aca="false">INDEX($B$27:$H$27,WEEKDAY(Q368,2))</f>
        <v>0</v>
      </c>
      <c r="S368" s="31" t="n">
        <f aca="false">SUM(R$5:R368)</f>
        <v>260</v>
      </c>
    </row>
    <row r="369" customFormat="false" ht="15" hidden="false" customHeight="false" outlineLevel="0" collapsed="false">
      <c r="K369" s="30" t="n">
        <f aca="false">K368+1</f>
        <v>46650</v>
      </c>
      <c r="L369" s="31" t="n">
        <f aca="false">INDEX($B$7:$H$7,WEEKDAY(K369,2))</f>
        <v>1</v>
      </c>
      <c r="M369" s="31" t="n">
        <f aca="false">SUM(L$5:L369)</f>
        <v>261</v>
      </c>
      <c r="N369" s="30" t="n">
        <f aca="false">N368+1</f>
        <v>46650</v>
      </c>
      <c r="O369" s="31" t="n">
        <f aca="false">INDEX($B$17:$H$17,WEEKDAY(N369,2))</f>
        <v>1</v>
      </c>
      <c r="P369" s="31" t="n">
        <f aca="false">SUM(O$5:O369)</f>
        <v>261</v>
      </c>
      <c r="Q369" s="30" t="n">
        <f aca="false">Q368+1</f>
        <v>46650</v>
      </c>
      <c r="R369" s="31" t="n">
        <f aca="false">INDEX($B$27:$H$27,WEEKDAY(Q369,2))</f>
        <v>1</v>
      </c>
      <c r="S369" s="31" t="n">
        <f aca="false">SUM(R$5:R369)</f>
        <v>261</v>
      </c>
    </row>
    <row r="370" customFormat="false" ht="15" hidden="false" customHeight="false" outlineLevel="0" collapsed="false">
      <c r="K370" s="30" t="n">
        <f aca="false">K369+1</f>
        <v>46651</v>
      </c>
      <c r="L370" s="31" t="n">
        <f aca="false">INDEX($B$7:$H$7,WEEKDAY(K370,2))</f>
        <v>1</v>
      </c>
      <c r="M370" s="31" t="n">
        <f aca="false">SUM(L$5:L370)</f>
        <v>262</v>
      </c>
      <c r="N370" s="30" t="n">
        <f aca="false">N369+1</f>
        <v>46651</v>
      </c>
      <c r="O370" s="31" t="n">
        <f aca="false">INDEX($B$17:$H$17,WEEKDAY(N370,2))</f>
        <v>1</v>
      </c>
      <c r="P370" s="31" t="n">
        <f aca="false">SUM(O$5:O370)</f>
        <v>262</v>
      </c>
      <c r="Q370" s="30" t="n">
        <f aca="false">Q369+1</f>
        <v>46651</v>
      </c>
      <c r="R370" s="31" t="n">
        <f aca="false">INDEX($B$27:$H$27,WEEKDAY(Q370,2))</f>
        <v>1</v>
      </c>
      <c r="S370" s="31" t="n">
        <f aca="false">SUM(R$5:R370)</f>
        <v>262</v>
      </c>
    </row>
    <row r="371" customFormat="false" ht="15" hidden="false" customHeight="false" outlineLevel="0" collapsed="false">
      <c r="K371" s="30" t="n">
        <f aca="false">K370+1</f>
        <v>46652</v>
      </c>
      <c r="L371" s="31" t="n">
        <f aca="false">INDEX($B$7:$H$7,WEEKDAY(K371,2))</f>
        <v>1</v>
      </c>
      <c r="M371" s="31" t="n">
        <f aca="false">SUM(L$5:L371)</f>
        <v>263</v>
      </c>
      <c r="N371" s="30" t="n">
        <f aca="false">N370+1</f>
        <v>46652</v>
      </c>
      <c r="O371" s="31" t="n">
        <f aca="false">INDEX($B$17:$H$17,WEEKDAY(N371,2))</f>
        <v>1</v>
      </c>
      <c r="P371" s="31" t="n">
        <f aca="false">SUM(O$5:O371)</f>
        <v>263</v>
      </c>
      <c r="Q371" s="30" t="n">
        <f aca="false">Q370+1</f>
        <v>46652</v>
      </c>
      <c r="R371" s="31" t="n">
        <f aca="false">INDEX($B$27:$H$27,WEEKDAY(Q371,2))</f>
        <v>1</v>
      </c>
      <c r="S371" s="31" t="n">
        <f aca="false">SUM(R$5:R371)</f>
        <v>263</v>
      </c>
    </row>
    <row r="372" customFormat="false" ht="15" hidden="false" customHeight="false" outlineLevel="0" collapsed="false">
      <c r="K372" s="30" t="n">
        <f aca="false">K371+1</f>
        <v>46653</v>
      </c>
      <c r="L372" s="31" t="n">
        <f aca="false">INDEX($B$7:$H$7,WEEKDAY(K372,2))</f>
        <v>1</v>
      </c>
      <c r="M372" s="31" t="n">
        <f aca="false">SUM(L$5:L372)</f>
        <v>264</v>
      </c>
      <c r="N372" s="30" t="n">
        <f aca="false">N371+1</f>
        <v>46653</v>
      </c>
      <c r="O372" s="31" t="n">
        <f aca="false">INDEX($B$17:$H$17,WEEKDAY(N372,2))</f>
        <v>1</v>
      </c>
      <c r="P372" s="31" t="n">
        <f aca="false">SUM(O$5:O372)</f>
        <v>264</v>
      </c>
      <c r="Q372" s="30" t="n">
        <f aca="false">Q371+1</f>
        <v>46653</v>
      </c>
      <c r="R372" s="31" t="n">
        <f aca="false">INDEX($B$27:$H$27,WEEKDAY(Q372,2))</f>
        <v>1</v>
      </c>
      <c r="S372" s="31" t="n">
        <f aca="false">SUM(R$5:R372)</f>
        <v>264</v>
      </c>
    </row>
    <row r="373" customFormat="false" ht="15" hidden="false" customHeight="false" outlineLevel="0" collapsed="false">
      <c r="K373" s="30" t="n">
        <f aca="false">K372+1</f>
        <v>46654</v>
      </c>
      <c r="L373" s="31" t="n">
        <f aca="false">INDEX($B$7:$H$7,WEEKDAY(K373,2))</f>
        <v>1</v>
      </c>
      <c r="M373" s="31" t="n">
        <f aca="false">SUM(L$5:L373)</f>
        <v>265</v>
      </c>
      <c r="N373" s="30" t="n">
        <f aca="false">N372+1</f>
        <v>46654</v>
      </c>
      <c r="O373" s="31" t="n">
        <f aca="false">INDEX($B$17:$H$17,WEEKDAY(N373,2))</f>
        <v>1</v>
      </c>
      <c r="P373" s="31" t="n">
        <f aca="false">SUM(O$5:O373)</f>
        <v>265</v>
      </c>
      <c r="Q373" s="30" t="n">
        <f aca="false">Q372+1</f>
        <v>46654</v>
      </c>
      <c r="R373" s="31" t="n">
        <f aca="false">INDEX($B$27:$H$27,WEEKDAY(Q373,2))</f>
        <v>1</v>
      </c>
      <c r="S373" s="31" t="n">
        <f aca="false">SUM(R$5:R373)</f>
        <v>265</v>
      </c>
    </row>
    <row r="374" customFormat="false" ht="15" hidden="false" customHeight="false" outlineLevel="0" collapsed="false">
      <c r="K374" s="30" t="n">
        <f aca="false">K373+1</f>
        <v>46655</v>
      </c>
      <c r="L374" s="31" t="n">
        <f aca="false">INDEX($B$7:$H$7,WEEKDAY(K374,2))</f>
        <v>0</v>
      </c>
      <c r="M374" s="31" t="n">
        <f aca="false">SUM(L$5:L374)</f>
        <v>265</v>
      </c>
      <c r="N374" s="30" t="n">
        <f aca="false">N373+1</f>
        <v>46655</v>
      </c>
      <c r="O374" s="31" t="n">
        <f aca="false">INDEX($B$17:$H$17,WEEKDAY(N374,2))</f>
        <v>0</v>
      </c>
      <c r="P374" s="31" t="n">
        <f aca="false">SUM(O$5:O374)</f>
        <v>265</v>
      </c>
      <c r="Q374" s="30" t="n">
        <f aca="false">Q373+1</f>
        <v>46655</v>
      </c>
      <c r="R374" s="31" t="n">
        <f aca="false">INDEX($B$27:$H$27,WEEKDAY(Q374,2))</f>
        <v>0</v>
      </c>
      <c r="S374" s="31" t="n">
        <f aca="false">SUM(R$5:R374)</f>
        <v>265</v>
      </c>
    </row>
    <row r="375" customFormat="false" ht="15" hidden="false" customHeight="false" outlineLevel="0" collapsed="false">
      <c r="K375" s="30" t="n">
        <f aca="false">K374+1</f>
        <v>46656</v>
      </c>
      <c r="L375" s="31" t="n">
        <f aca="false">INDEX($B$7:$H$7,WEEKDAY(K375,2))</f>
        <v>0</v>
      </c>
      <c r="M375" s="31" t="n">
        <f aca="false">SUM(L$5:L375)</f>
        <v>265</v>
      </c>
      <c r="N375" s="30" t="n">
        <f aca="false">N374+1</f>
        <v>46656</v>
      </c>
      <c r="O375" s="31" t="n">
        <f aca="false">INDEX($B$17:$H$17,WEEKDAY(N375,2))</f>
        <v>0</v>
      </c>
      <c r="P375" s="31" t="n">
        <f aca="false">SUM(O$5:O375)</f>
        <v>265</v>
      </c>
      <c r="Q375" s="30" t="n">
        <f aca="false">Q374+1</f>
        <v>46656</v>
      </c>
      <c r="R375" s="31" t="n">
        <f aca="false">INDEX($B$27:$H$27,WEEKDAY(Q375,2))</f>
        <v>0</v>
      </c>
      <c r="S375" s="31" t="n">
        <f aca="false">SUM(R$5:R375)</f>
        <v>265</v>
      </c>
    </row>
    <row r="376" customFormat="false" ht="15" hidden="false" customHeight="false" outlineLevel="0" collapsed="false">
      <c r="K376" s="30" t="n">
        <f aca="false">K375+1</f>
        <v>46657</v>
      </c>
      <c r="L376" s="31" t="n">
        <f aca="false">INDEX($B$7:$H$7,WEEKDAY(K376,2))</f>
        <v>1</v>
      </c>
      <c r="M376" s="31" t="n">
        <f aca="false">SUM(L$5:L376)</f>
        <v>266</v>
      </c>
      <c r="N376" s="30" t="n">
        <f aca="false">N375+1</f>
        <v>46657</v>
      </c>
      <c r="O376" s="31" t="n">
        <f aca="false">INDEX($B$17:$H$17,WEEKDAY(N376,2))</f>
        <v>1</v>
      </c>
      <c r="P376" s="31" t="n">
        <f aca="false">SUM(O$5:O376)</f>
        <v>266</v>
      </c>
      <c r="Q376" s="30" t="n">
        <f aca="false">Q375+1</f>
        <v>46657</v>
      </c>
      <c r="R376" s="31" t="n">
        <f aca="false">INDEX($B$27:$H$27,WEEKDAY(Q376,2))</f>
        <v>1</v>
      </c>
      <c r="S376" s="31" t="n">
        <f aca="false">SUM(R$5:R376)</f>
        <v>266</v>
      </c>
    </row>
    <row r="377" customFormat="false" ht="15" hidden="false" customHeight="false" outlineLevel="0" collapsed="false">
      <c r="K377" s="30" t="n">
        <f aca="false">K376+1</f>
        <v>46658</v>
      </c>
      <c r="L377" s="31" t="n">
        <f aca="false">INDEX($B$7:$H$7,WEEKDAY(K377,2))</f>
        <v>1</v>
      </c>
      <c r="M377" s="31" t="n">
        <f aca="false">SUM(L$5:L377)</f>
        <v>267</v>
      </c>
      <c r="N377" s="30" t="n">
        <f aca="false">N376+1</f>
        <v>46658</v>
      </c>
      <c r="O377" s="31" t="n">
        <f aca="false">INDEX($B$17:$H$17,WEEKDAY(N377,2))</f>
        <v>1</v>
      </c>
      <c r="P377" s="31" t="n">
        <f aca="false">SUM(O$5:O377)</f>
        <v>267</v>
      </c>
      <c r="Q377" s="30" t="n">
        <f aca="false">Q376+1</f>
        <v>46658</v>
      </c>
      <c r="R377" s="31" t="n">
        <f aca="false">INDEX($B$27:$H$27,WEEKDAY(Q377,2))</f>
        <v>1</v>
      </c>
      <c r="S377" s="31" t="n">
        <f aca="false">SUM(R$5:R377)</f>
        <v>267</v>
      </c>
    </row>
    <row r="378" customFormat="false" ht="15" hidden="false" customHeight="false" outlineLevel="0" collapsed="false">
      <c r="K378" s="30" t="n">
        <f aca="false">K377+1</f>
        <v>46659</v>
      </c>
      <c r="L378" s="31" t="n">
        <f aca="false">INDEX($B$7:$H$7,WEEKDAY(K378,2))</f>
        <v>1</v>
      </c>
      <c r="M378" s="31" t="n">
        <f aca="false">SUM(L$5:L378)</f>
        <v>268</v>
      </c>
      <c r="N378" s="30" t="n">
        <f aca="false">N377+1</f>
        <v>46659</v>
      </c>
      <c r="O378" s="31" t="n">
        <f aca="false">INDEX($B$17:$H$17,WEEKDAY(N378,2))</f>
        <v>1</v>
      </c>
      <c r="P378" s="31" t="n">
        <f aca="false">SUM(O$5:O378)</f>
        <v>268</v>
      </c>
      <c r="Q378" s="30" t="n">
        <f aca="false">Q377+1</f>
        <v>46659</v>
      </c>
      <c r="R378" s="31" t="n">
        <f aca="false">INDEX($B$27:$H$27,WEEKDAY(Q378,2))</f>
        <v>1</v>
      </c>
      <c r="S378" s="31" t="n">
        <f aca="false">SUM(R$5:R378)</f>
        <v>268</v>
      </c>
    </row>
    <row r="379" customFormat="false" ht="15" hidden="false" customHeight="false" outlineLevel="0" collapsed="false">
      <c r="K379" s="30" t="n">
        <f aca="false">K378+1</f>
        <v>46660</v>
      </c>
      <c r="L379" s="31" t="n">
        <f aca="false">INDEX($B$7:$H$7,WEEKDAY(K379,2))</f>
        <v>1</v>
      </c>
      <c r="M379" s="31" t="n">
        <f aca="false">SUM(L$5:L379)</f>
        <v>269</v>
      </c>
      <c r="N379" s="30" t="n">
        <f aca="false">N378+1</f>
        <v>46660</v>
      </c>
      <c r="O379" s="31" t="n">
        <f aca="false">INDEX($B$17:$H$17,WEEKDAY(N379,2))</f>
        <v>1</v>
      </c>
      <c r="P379" s="31" t="n">
        <f aca="false">SUM(O$5:O379)</f>
        <v>269</v>
      </c>
      <c r="Q379" s="30" t="n">
        <f aca="false">Q378+1</f>
        <v>46660</v>
      </c>
      <c r="R379" s="31" t="n">
        <f aca="false">INDEX($B$27:$H$27,WEEKDAY(Q379,2))</f>
        <v>1</v>
      </c>
      <c r="S379" s="31" t="n">
        <f aca="false">SUM(R$5:R379)</f>
        <v>269</v>
      </c>
    </row>
    <row r="380" customFormat="false" ht="15" hidden="false" customHeight="false" outlineLevel="0" collapsed="false">
      <c r="K380" s="30" t="n">
        <f aca="false">K379+1</f>
        <v>46661</v>
      </c>
      <c r="L380" s="31" t="n">
        <f aca="false">INDEX($B$7:$H$7,WEEKDAY(K380,2))</f>
        <v>1</v>
      </c>
      <c r="M380" s="31" t="n">
        <f aca="false">SUM(L$5:L380)</f>
        <v>270</v>
      </c>
      <c r="N380" s="30" t="n">
        <f aca="false">N379+1</f>
        <v>46661</v>
      </c>
      <c r="O380" s="31" t="n">
        <f aca="false">INDEX($B$17:$H$17,WEEKDAY(N380,2))</f>
        <v>1</v>
      </c>
      <c r="P380" s="31" t="n">
        <f aca="false">SUM(O$5:O380)</f>
        <v>270</v>
      </c>
      <c r="Q380" s="30" t="n">
        <f aca="false">Q379+1</f>
        <v>46661</v>
      </c>
      <c r="R380" s="31" t="n">
        <f aca="false">INDEX($B$27:$H$27,WEEKDAY(Q380,2))</f>
        <v>1</v>
      </c>
      <c r="S380" s="31" t="n">
        <f aca="false">SUM(R$5:R380)</f>
        <v>270</v>
      </c>
    </row>
    <row r="381" customFormat="false" ht="15" hidden="false" customHeight="false" outlineLevel="0" collapsed="false">
      <c r="K381" s="30" t="n">
        <f aca="false">K380+1</f>
        <v>46662</v>
      </c>
      <c r="L381" s="31" t="n">
        <f aca="false">INDEX($B$7:$H$7,WEEKDAY(K381,2))</f>
        <v>0</v>
      </c>
      <c r="M381" s="31" t="n">
        <f aca="false">SUM(L$5:L381)</f>
        <v>270</v>
      </c>
      <c r="N381" s="30" t="n">
        <f aca="false">N380+1</f>
        <v>46662</v>
      </c>
      <c r="O381" s="31" t="n">
        <f aca="false">INDEX($B$17:$H$17,WEEKDAY(N381,2))</f>
        <v>0</v>
      </c>
      <c r="P381" s="31" t="n">
        <f aca="false">SUM(O$5:O381)</f>
        <v>270</v>
      </c>
      <c r="Q381" s="30" t="n">
        <f aca="false">Q380+1</f>
        <v>46662</v>
      </c>
      <c r="R381" s="31" t="n">
        <f aca="false">INDEX($B$27:$H$27,WEEKDAY(Q381,2))</f>
        <v>0</v>
      </c>
      <c r="S381" s="31" t="n">
        <f aca="false">SUM(R$5:R381)</f>
        <v>270</v>
      </c>
    </row>
    <row r="382" customFormat="false" ht="15" hidden="false" customHeight="false" outlineLevel="0" collapsed="false">
      <c r="K382" s="30" t="n">
        <f aca="false">K381+1</f>
        <v>46663</v>
      </c>
      <c r="L382" s="31" t="n">
        <f aca="false">INDEX($B$7:$H$7,WEEKDAY(K382,2))</f>
        <v>0</v>
      </c>
      <c r="M382" s="31" t="n">
        <f aca="false">SUM(L$5:L382)</f>
        <v>270</v>
      </c>
      <c r="N382" s="30" t="n">
        <f aca="false">N381+1</f>
        <v>46663</v>
      </c>
      <c r="O382" s="31" t="n">
        <f aca="false">INDEX($B$17:$H$17,WEEKDAY(N382,2))</f>
        <v>0</v>
      </c>
      <c r="P382" s="31" t="n">
        <f aca="false">SUM(O$5:O382)</f>
        <v>270</v>
      </c>
      <c r="Q382" s="30" t="n">
        <f aca="false">Q381+1</f>
        <v>46663</v>
      </c>
      <c r="R382" s="31" t="n">
        <f aca="false">INDEX($B$27:$H$27,WEEKDAY(Q382,2))</f>
        <v>0</v>
      </c>
      <c r="S382" s="31" t="n">
        <f aca="false">SUM(R$5:R382)</f>
        <v>270</v>
      </c>
    </row>
    <row r="383" customFormat="false" ht="15" hidden="false" customHeight="false" outlineLevel="0" collapsed="false">
      <c r="K383" s="30" t="n">
        <f aca="false">K382+1</f>
        <v>46664</v>
      </c>
      <c r="L383" s="31" t="n">
        <f aca="false">INDEX($B$7:$H$7,WEEKDAY(K383,2))</f>
        <v>1</v>
      </c>
      <c r="M383" s="31" t="n">
        <f aca="false">SUM(L$5:L383)</f>
        <v>271</v>
      </c>
      <c r="N383" s="30" t="n">
        <f aca="false">N382+1</f>
        <v>46664</v>
      </c>
      <c r="O383" s="31" t="n">
        <f aca="false">INDEX($B$17:$H$17,WEEKDAY(N383,2))</f>
        <v>1</v>
      </c>
      <c r="P383" s="31" t="n">
        <f aca="false">SUM(O$5:O383)</f>
        <v>271</v>
      </c>
      <c r="Q383" s="30" t="n">
        <f aca="false">Q382+1</f>
        <v>46664</v>
      </c>
      <c r="R383" s="31" t="n">
        <f aca="false">INDEX($B$27:$H$27,WEEKDAY(Q383,2))</f>
        <v>1</v>
      </c>
      <c r="S383" s="31" t="n">
        <f aca="false">SUM(R$5:R383)</f>
        <v>271</v>
      </c>
    </row>
    <row r="384" customFormat="false" ht="15" hidden="false" customHeight="false" outlineLevel="0" collapsed="false">
      <c r="K384" s="30" t="n">
        <f aca="false">K383+1</f>
        <v>46665</v>
      </c>
      <c r="L384" s="31" t="n">
        <f aca="false">INDEX($B$7:$H$7,WEEKDAY(K384,2))</f>
        <v>1</v>
      </c>
      <c r="M384" s="31" t="n">
        <f aca="false">SUM(L$5:L384)</f>
        <v>272</v>
      </c>
      <c r="N384" s="30" t="n">
        <f aca="false">N383+1</f>
        <v>46665</v>
      </c>
      <c r="O384" s="31" t="n">
        <f aca="false">INDEX($B$17:$H$17,WEEKDAY(N384,2))</f>
        <v>1</v>
      </c>
      <c r="P384" s="31" t="n">
        <f aca="false">SUM(O$5:O384)</f>
        <v>272</v>
      </c>
      <c r="Q384" s="30" t="n">
        <f aca="false">Q383+1</f>
        <v>46665</v>
      </c>
      <c r="R384" s="31" t="n">
        <f aca="false">INDEX($B$27:$H$27,WEEKDAY(Q384,2))</f>
        <v>1</v>
      </c>
      <c r="S384" s="31" t="n">
        <f aca="false">SUM(R$5:R384)</f>
        <v>272</v>
      </c>
    </row>
    <row r="385" customFormat="false" ht="15" hidden="false" customHeight="false" outlineLevel="0" collapsed="false">
      <c r="K385" s="30" t="n">
        <f aca="false">K384+1</f>
        <v>46666</v>
      </c>
      <c r="L385" s="31" t="n">
        <f aca="false">INDEX($B$7:$H$7,WEEKDAY(K385,2))</f>
        <v>1</v>
      </c>
      <c r="M385" s="31" t="n">
        <f aca="false">SUM(L$5:L385)</f>
        <v>273</v>
      </c>
      <c r="N385" s="30" t="n">
        <f aca="false">N384+1</f>
        <v>46666</v>
      </c>
      <c r="O385" s="31" t="n">
        <f aca="false">INDEX($B$17:$H$17,WEEKDAY(N385,2))</f>
        <v>1</v>
      </c>
      <c r="P385" s="31" t="n">
        <f aca="false">SUM(O$5:O385)</f>
        <v>273</v>
      </c>
      <c r="Q385" s="30" t="n">
        <f aca="false">Q384+1</f>
        <v>46666</v>
      </c>
      <c r="R385" s="31" t="n">
        <f aca="false">INDEX($B$27:$H$27,WEEKDAY(Q385,2))</f>
        <v>1</v>
      </c>
      <c r="S385" s="31" t="n">
        <f aca="false">SUM(R$5:R385)</f>
        <v>273</v>
      </c>
    </row>
    <row r="386" customFormat="false" ht="15" hidden="false" customHeight="false" outlineLevel="0" collapsed="false">
      <c r="K386" s="30" t="n">
        <f aca="false">K385+1</f>
        <v>46667</v>
      </c>
      <c r="L386" s="31" t="n">
        <f aca="false">INDEX($B$7:$H$7,WEEKDAY(K386,2))</f>
        <v>1</v>
      </c>
      <c r="M386" s="31" t="n">
        <f aca="false">SUM(L$5:L386)</f>
        <v>274</v>
      </c>
      <c r="N386" s="30" t="n">
        <f aca="false">N385+1</f>
        <v>46667</v>
      </c>
      <c r="O386" s="31" t="n">
        <f aca="false">INDEX($B$17:$H$17,WEEKDAY(N386,2))</f>
        <v>1</v>
      </c>
      <c r="P386" s="31" t="n">
        <f aca="false">SUM(O$5:O386)</f>
        <v>274</v>
      </c>
      <c r="Q386" s="30" t="n">
        <f aca="false">Q385+1</f>
        <v>46667</v>
      </c>
      <c r="R386" s="31" t="n">
        <f aca="false">INDEX($B$27:$H$27,WEEKDAY(Q386,2))</f>
        <v>1</v>
      </c>
      <c r="S386" s="31" t="n">
        <f aca="false">SUM(R$5:R386)</f>
        <v>274</v>
      </c>
    </row>
    <row r="387" customFormat="false" ht="15" hidden="false" customHeight="false" outlineLevel="0" collapsed="false">
      <c r="K387" s="30" t="n">
        <f aca="false">K386+1</f>
        <v>46668</v>
      </c>
      <c r="L387" s="31" t="n">
        <f aca="false">INDEX($B$7:$H$7,WEEKDAY(K387,2))</f>
        <v>1</v>
      </c>
      <c r="M387" s="31" t="n">
        <f aca="false">SUM(L$5:L387)</f>
        <v>275</v>
      </c>
      <c r="N387" s="30" t="n">
        <f aca="false">N386+1</f>
        <v>46668</v>
      </c>
      <c r="O387" s="31" t="n">
        <f aca="false">INDEX($B$17:$H$17,WEEKDAY(N387,2))</f>
        <v>1</v>
      </c>
      <c r="P387" s="31" t="n">
        <f aca="false">SUM(O$5:O387)</f>
        <v>275</v>
      </c>
      <c r="Q387" s="30" t="n">
        <f aca="false">Q386+1</f>
        <v>46668</v>
      </c>
      <c r="R387" s="31" t="n">
        <f aca="false">INDEX($B$27:$H$27,WEEKDAY(Q387,2))</f>
        <v>1</v>
      </c>
      <c r="S387" s="31" t="n">
        <f aca="false">SUM(R$5:R387)</f>
        <v>275</v>
      </c>
    </row>
    <row r="388" customFormat="false" ht="15" hidden="false" customHeight="false" outlineLevel="0" collapsed="false">
      <c r="K388" s="30" t="n">
        <f aca="false">K387+1</f>
        <v>46669</v>
      </c>
      <c r="L388" s="31" t="n">
        <f aca="false">INDEX($B$7:$H$7,WEEKDAY(K388,2))</f>
        <v>0</v>
      </c>
      <c r="M388" s="31" t="n">
        <f aca="false">SUM(L$5:L388)</f>
        <v>275</v>
      </c>
      <c r="N388" s="30" t="n">
        <f aca="false">N387+1</f>
        <v>46669</v>
      </c>
      <c r="O388" s="31" t="n">
        <f aca="false">INDEX($B$17:$H$17,WEEKDAY(N388,2))</f>
        <v>0</v>
      </c>
      <c r="P388" s="31" t="n">
        <f aca="false">SUM(O$5:O388)</f>
        <v>275</v>
      </c>
      <c r="Q388" s="30" t="n">
        <f aca="false">Q387+1</f>
        <v>46669</v>
      </c>
      <c r="R388" s="31" t="n">
        <f aca="false">INDEX($B$27:$H$27,WEEKDAY(Q388,2))</f>
        <v>0</v>
      </c>
      <c r="S388" s="31" t="n">
        <f aca="false">SUM(R$5:R388)</f>
        <v>275</v>
      </c>
    </row>
    <row r="389" customFormat="false" ht="15" hidden="false" customHeight="false" outlineLevel="0" collapsed="false">
      <c r="K389" s="30" t="n">
        <f aca="false">K388+1</f>
        <v>46670</v>
      </c>
      <c r="L389" s="31" t="n">
        <f aca="false">INDEX($B$7:$H$7,WEEKDAY(K389,2))</f>
        <v>0</v>
      </c>
      <c r="M389" s="31" t="n">
        <f aca="false">SUM(L$5:L389)</f>
        <v>275</v>
      </c>
      <c r="N389" s="30" t="n">
        <f aca="false">N388+1</f>
        <v>46670</v>
      </c>
      <c r="O389" s="31" t="n">
        <f aca="false">INDEX($B$17:$H$17,WEEKDAY(N389,2))</f>
        <v>0</v>
      </c>
      <c r="P389" s="31" t="n">
        <f aca="false">SUM(O$5:O389)</f>
        <v>275</v>
      </c>
      <c r="Q389" s="30" t="n">
        <f aca="false">Q388+1</f>
        <v>46670</v>
      </c>
      <c r="R389" s="31" t="n">
        <f aca="false">INDEX($B$27:$H$27,WEEKDAY(Q389,2))</f>
        <v>0</v>
      </c>
      <c r="S389" s="31" t="n">
        <f aca="false">SUM(R$5:R389)</f>
        <v>275</v>
      </c>
    </row>
    <row r="390" customFormat="false" ht="15" hidden="false" customHeight="false" outlineLevel="0" collapsed="false">
      <c r="K390" s="30" t="n">
        <f aca="false">K389+1</f>
        <v>46671</v>
      </c>
      <c r="L390" s="31" t="n">
        <f aca="false">INDEX($B$7:$H$7,WEEKDAY(K390,2))</f>
        <v>1</v>
      </c>
      <c r="M390" s="31" t="n">
        <f aca="false">SUM(L$5:L390)</f>
        <v>276</v>
      </c>
      <c r="N390" s="30" t="n">
        <f aca="false">N389+1</f>
        <v>46671</v>
      </c>
      <c r="O390" s="31" t="n">
        <f aca="false">INDEX($B$17:$H$17,WEEKDAY(N390,2))</f>
        <v>1</v>
      </c>
      <c r="P390" s="31" t="n">
        <f aca="false">SUM(O$5:O390)</f>
        <v>276</v>
      </c>
      <c r="Q390" s="30" t="n">
        <f aca="false">Q389+1</f>
        <v>46671</v>
      </c>
      <c r="R390" s="31" t="n">
        <f aca="false">INDEX($B$27:$H$27,WEEKDAY(Q390,2))</f>
        <v>1</v>
      </c>
      <c r="S390" s="31" t="n">
        <f aca="false">SUM(R$5:R390)</f>
        <v>276</v>
      </c>
    </row>
    <row r="391" customFormat="false" ht="15" hidden="false" customHeight="false" outlineLevel="0" collapsed="false">
      <c r="K391" s="30" t="n">
        <f aca="false">K390+1</f>
        <v>46672</v>
      </c>
      <c r="L391" s="31" t="n">
        <f aca="false">INDEX($B$7:$H$7,WEEKDAY(K391,2))</f>
        <v>1</v>
      </c>
      <c r="M391" s="31" t="n">
        <f aca="false">SUM(L$5:L391)</f>
        <v>277</v>
      </c>
      <c r="N391" s="30" t="n">
        <f aca="false">N390+1</f>
        <v>46672</v>
      </c>
      <c r="O391" s="31" t="n">
        <f aca="false">INDEX($B$17:$H$17,WEEKDAY(N391,2))</f>
        <v>1</v>
      </c>
      <c r="P391" s="31" t="n">
        <f aca="false">SUM(O$5:O391)</f>
        <v>277</v>
      </c>
      <c r="Q391" s="30" t="n">
        <f aca="false">Q390+1</f>
        <v>46672</v>
      </c>
      <c r="R391" s="31" t="n">
        <f aca="false">INDEX($B$27:$H$27,WEEKDAY(Q391,2))</f>
        <v>1</v>
      </c>
      <c r="S391" s="31" t="n">
        <f aca="false">SUM(R$5:R391)</f>
        <v>277</v>
      </c>
    </row>
    <row r="392" customFormat="false" ht="15" hidden="false" customHeight="false" outlineLevel="0" collapsed="false">
      <c r="K392" s="30" t="n">
        <f aca="false">K391+1</f>
        <v>46673</v>
      </c>
      <c r="L392" s="31" t="n">
        <f aca="false">INDEX($B$7:$H$7,WEEKDAY(K392,2))</f>
        <v>1</v>
      </c>
      <c r="M392" s="31" t="n">
        <f aca="false">SUM(L$5:L392)</f>
        <v>278</v>
      </c>
      <c r="N392" s="30" t="n">
        <f aca="false">N391+1</f>
        <v>46673</v>
      </c>
      <c r="O392" s="31" t="n">
        <f aca="false">INDEX($B$17:$H$17,WEEKDAY(N392,2))</f>
        <v>1</v>
      </c>
      <c r="P392" s="31" t="n">
        <f aca="false">SUM(O$5:O392)</f>
        <v>278</v>
      </c>
      <c r="Q392" s="30" t="n">
        <f aca="false">Q391+1</f>
        <v>46673</v>
      </c>
      <c r="R392" s="31" t="n">
        <f aca="false">INDEX($B$27:$H$27,WEEKDAY(Q392,2))</f>
        <v>1</v>
      </c>
      <c r="S392" s="31" t="n">
        <f aca="false">SUM(R$5:R392)</f>
        <v>278</v>
      </c>
    </row>
    <row r="393" customFormat="false" ht="15" hidden="false" customHeight="false" outlineLevel="0" collapsed="false">
      <c r="K393" s="30" t="n">
        <f aca="false">K392+1</f>
        <v>46674</v>
      </c>
      <c r="L393" s="31" t="n">
        <f aca="false">INDEX($B$7:$H$7,WEEKDAY(K393,2))</f>
        <v>1</v>
      </c>
      <c r="M393" s="31" t="n">
        <f aca="false">SUM(L$5:L393)</f>
        <v>279</v>
      </c>
      <c r="N393" s="30" t="n">
        <f aca="false">N392+1</f>
        <v>46674</v>
      </c>
      <c r="O393" s="31" t="n">
        <f aca="false">INDEX($B$17:$H$17,WEEKDAY(N393,2))</f>
        <v>1</v>
      </c>
      <c r="P393" s="31" t="n">
        <f aca="false">SUM(O$5:O393)</f>
        <v>279</v>
      </c>
      <c r="Q393" s="30" t="n">
        <f aca="false">Q392+1</f>
        <v>46674</v>
      </c>
      <c r="R393" s="31" t="n">
        <f aca="false">INDEX($B$27:$H$27,WEEKDAY(Q393,2))</f>
        <v>1</v>
      </c>
      <c r="S393" s="31" t="n">
        <f aca="false">SUM(R$5:R393)</f>
        <v>279</v>
      </c>
    </row>
    <row r="394" customFormat="false" ht="15" hidden="false" customHeight="false" outlineLevel="0" collapsed="false">
      <c r="K394" s="30" t="n">
        <f aca="false">K393+1</f>
        <v>46675</v>
      </c>
      <c r="L394" s="31" t="n">
        <f aca="false">INDEX($B$7:$H$7,WEEKDAY(K394,2))</f>
        <v>1</v>
      </c>
      <c r="M394" s="31" t="n">
        <f aca="false">SUM(L$5:L394)</f>
        <v>280</v>
      </c>
      <c r="N394" s="30" t="n">
        <f aca="false">N393+1</f>
        <v>46675</v>
      </c>
      <c r="O394" s="31" t="n">
        <f aca="false">INDEX($B$17:$H$17,WEEKDAY(N394,2))</f>
        <v>1</v>
      </c>
      <c r="P394" s="31" t="n">
        <f aca="false">SUM(O$5:O394)</f>
        <v>280</v>
      </c>
      <c r="Q394" s="30" t="n">
        <f aca="false">Q393+1</f>
        <v>46675</v>
      </c>
      <c r="R394" s="31" t="n">
        <f aca="false">INDEX($B$27:$H$27,WEEKDAY(Q394,2))</f>
        <v>1</v>
      </c>
      <c r="S394" s="31" t="n">
        <f aca="false">SUM(R$5:R394)</f>
        <v>280</v>
      </c>
    </row>
    <row r="395" customFormat="false" ht="15" hidden="false" customHeight="false" outlineLevel="0" collapsed="false">
      <c r="K395" s="30" t="n">
        <f aca="false">K394+1</f>
        <v>46676</v>
      </c>
      <c r="L395" s="31" t="n">
        <f aca="false">INDEX($B$7:$H$7,WEEKDAY(K395,2))</f>
        <v>0</v>
      </c>
      <c r="M395" s="31" t="n">
        <f aca="false">SUM(L$5:L395)</f>
        <v>280</v>
      </c>
      <c r="N395" s="30" t="n">
        <f aca="false">N394+1</f>
        <v>46676</v>
      </c>
      <c r="O395" s="31" t="n">
        <f aca="false">INDEX($B$17:$H$17,WEEKDAY(N395,2))</f>
        <v>0</v>
      </c>
      <c r="P395" s="31" t="n">
        <f aca="false">SUM(O$5:O395)</f>
        <v>280</v>
      </c>
      <c r="Q395" s="30" t="n">
        <f aca="false">Q394+1</f>
        <v>46676</v>
      </c>
      <c r="R395" s="31" t="n">
        <f aca="false">INDEX($B$27:$H$27,WEEKDAY(Q395,2))</f>
        <v>0</v>
      </c>
      <c r="S395" s="31" t="n">
        <f aca="false">SUM(R$5:R395)</f>
        <v>280</v>
      </c>
    </row>
    <row r="396" customFormat="false" ht="15" hidden="false" customHeight="false" outlineLevel="0" collapsed="false">
      <c r="K396" s="30" t="n">
        <f aca="false">K395+1</f>
        <v>46677</v>
      </c>
      <c r="L396" s="31" t="n">
        <f aca="false">INDEX($B$7:$H$7,WEEKDAY(K396,2))</f>
        <v>0</v>
      </c>
      <c r="M396" s="31" t="n">
        <f aca="false">SUM(L$5:L396)</f>
        <v>280</v>
      </c>
      <c r="N396" s="30" t="n">
        <f aca="false">N395+1</f>
        <v>46677</v>
      </c>
      <c r="O396" s="31" t="n">
        <f aca="false">INDEX($B$17:$H$17,WEEKDAY(N396,2))</f>
        <v>0</v>
      </c>
      <c r="P396" s="31" t="n">
        <f aca="false">SUM(O$5:O396)</f>
        <v>280</v>
      </c>
      <c r="Q396" s="30" t="n">
        <f aca="false">Q395+1</f>
        <v>46677</v>
      </c>
      <c r="R396" s="31" t="n">
        <f aca="false">INDEX($B$27:$H$27,WEEKDAY(Q396,2))</f>
        <v>0</v>
      </c>
      <c r="S396" s="31" t="n">
        <f aca="false">SUM(R$5:R396)</f>
        <v>280</v>
      </c>
    </row>
    <row r="397" customFormat="false" ht="15" hidden="false" customHeight="false" outlineLevel="0" collapsed="false">
      <c r="K397" s="30" t="n">
        <f aca="false">K396+1</f>
        <v>46678</v>
      </c>
      <c r="L397" s="31" t="n">
        <f aca="false">INDEX($B$7:$H$7,WEEKDAY(K397,2))</f>
        <v>1</v>
      </c>
      <c r="M397" s="31" t="n">
        <f aca="false">SUM(L$5:L397)</f>
        <v>281</v>
      </c>
      <c r="N397" s="30" t="n">
        <f aca="false">N396+1</f>
        <v>46678</v>
      </c>
      <c r="O397" s="31" t="n">
        <f aca="false">INDEX($B$17:$H$17,WEEKDAY(N397,2))</f>
        <v>1</v>
      </c>
      <c r="P397" s="31" t="n">
        <f aca="false">SUM(O$5:O397)</f>
        <v>281</v>
      </c>
      <c r="Q397" s="30" t="n">
        <f aca="false">Q396+1</f>
        <v>46678</v>
      </c>
      <c r="R397" s="31" t="n">
        <f aca="false">INDEX($B$27:$H$27,WEEKDAY(Q397,2))</f>
        <v>1</v>
      </c>
      <c r="S397" s="31" t="n">
        <f aca="false">SUM(R$5:R397)</f>
        <v>281</v>
      </c>
    </row>
    <row r="398" customFormat="false" ht="15" hidden="false" customHeight="false" outlineLevel="0" collapsed="false">
      <c r="K398" s="30" t="n">
        <f aca="false">K397+1</f>
        <v>46679</v>
      </c>
      <c r="L398" s="31" t="n">
        <f aca="false">INDEX($B$7:$H$7,WEEKDAY(K398,2))</f>
        <v>1</v>
      </c>
      <c r="M398" s="31" t="n">
        <f aca="false">SUM(L$5:L398)</f>
        <v>282</v>
      </c>
      <c r="N398" s="30" t="n">
        <f aca="false">N397+1</f>
        <v>46679</v>
      </c>
      <c r="O398" s="31" t="n">
        <f aca="false">INDEX($B$17:$H$17,WEEKDAY(N398,2))</f>
        <v>1</v>
      </c>
      <c r="P398" s="31" t="n">
        <f aca="false">SUM(O$5:O398)</f>
        <v>282</v>
      </c>
      <c r="Q398" s="30" t="n">
        <f aca="false">Q397+1</f>
        <v>46679</v>
      </c>
      <c r="R398" s="31" t="n">
        <f aca="false">INDEX($B$27:$H$27,WEEKDAY(Q398,2))</f>
        <v>1</v>
      </c>
      <c r="S398" s="31" t="n">
        <f aca="false">SUM(R$5:R398)</f>
        <v>282</v>
      </c>
    </row>
    <row r="399" customFormat="false" ht="15" hidden="false" customHeight="false" outlineLevel="0" collapsed="false">
      <c r="K399" s="30" t="n">
        <f aca="false">K398+1</f>
        <v>46680</v>
      </c>
      <c r="L399" s="31" t="n">
        <f aca="false">INDEX($B$7:$H$7,WEEKDAY(K399,2))</f>
        <v>1</v>
      </c>
      <c r="M399" s="31" t="n">
        <f aca="false">SUM(L$5:L399)</f>
        <v>283</v>
      </c>
      <c r="N399" s="30" t="n">
        <f aca="false">N398+1</f>
        <v>46680</v>
      </c>
      <c r="O399" s="31" t="n">
        <f aca="false">INDEX($B$17:$H$17,WEEKDAY(N399,2))</f>
        <v>1</v>
      </c>
      <c r="P399" s="31" t="n">
        <f aca="false">SUM(O$5:O399)</f>
        <v>283</v>
      </c>
      <c r="Q399" s="30" t="n">
        <f aca="false">Q398+1</f>
        <v>46680</v>
      </c>
      <c r="R399" s="31" t="n">
        <f aca="false">INDEX($B$27:$H$27,WEEKDAY(Q399,2))</f>
        <v>1</v>
      </c>
      <c r="S399" s="31" t="n">
        <f aca="false">SUM(R$5:R399)</f>
        <v>283</v>
      </c>
    </row>
    <row r="400" customFormat="false" ht="15" hidden="false" customHeight="false" outlineLevel="0" collapsed="false">
      <c r="K400" s="30" t="n">
        <f aca="false">K399+1</f>
        <v>46681</v>
      </c>
      <c r="L400" s="31" t="n">
        <f aca="false">INDEX($B$7:$H$7,WEEKDAY(K400,2))</f>
        <v>1</v>
      </c>
      <c r="M400" s="31" t="n">
        <f aca="false">SUM(L$5:L400)</f>
        <v>284</v>
      </c>
      <c r="N400" s="30" t="n">
        <f aca="false">N399+1</f>
        <v>46681</v>
      </c>
      <c r="O400" s="31" t="n">
        <f aca="false">INDEX($B$17:$H$17,WEEKDAY(N400,2))</f>
        <v>1</v>
      </c>
      <c r="P400" s="31" t="n">
        <f aca="false">SUM(O$5:O400)</f>
        <v>284</v>
      </c>
      <c r="Q400" s="30" t="n">
        <f aca="false">Q399+1</f>
        <v>46681</v>
      </c>
      <c r="R400" s="31" t="n">
        <f aca="false">INDEX($B$27:$H$27,WEEKDAY(Q400,2))</f>
        <v>1</v>
      </c>
      <c r="S400" s="31" t="n">
        <f aca="false">SUM(R$5:R400)</f>
        <v>284</v>
      </c>
    </row>
    <row r="401" customFormat="false" ht="15" hidden="false" customHeight="false" outlineLevel="0" collapsed="false">
      <c r="K401" s="30" t="n">
        <f aca="false">K400+1</f>
        <v>46682</v>
      </c>
      <c r="L401" s="31" t="n">
        <f aca="false">INDEX($B$7:$H$7,WEEKDAY(K401,2))</f>
        <v>1</v>
      </c>
      <c r="M401" s="31" t="n">
        <f aca="false">SUM(L$5:L401)</f>
        <v>285</v>
      </c>
      <c r="N401" s="30" t="n">
        <f aca="false">N400+1</f>
        <v>46682</v>
      </c>
      <c r="O401" s="31" t="n">
        <f aca="false">INDEX($B$17:$H$17,WEEKDAY(N401,2))</f>
        <v>1</v>
      </c>
      <c r="P401" s="31" t="n">
        <f aca="false">SUM(O$5:O401)</f>
        <v>285</v>
      </c>
      <c r="Q401" s="30" t="n">
        <f aca="false">Q400+1</f>
        <v>46682</v>
      </c>
      <c r="R401" s="31" t="n">
        <f aca="false">INDEX($B$27:$H$27,WEEKDAY(Q401,2))</f>
        <v>1</v>
      </c>
      <c r="S401" s="31" t="n">
        <f aca="false">SUM(R$5:R401)</f>
        <v>285</v>
      </c>
    </row>
    <row r="402" customFormat="false" ht="15" hidden="false" customHeight="false" outlineLevel="0" collapsed="false">
      <c r="K402" s="30" t="n">
        <f aca="false">K401+1</f>
        <v>46683</v>
      </c>
      <c r="L402" s="31" t="n">
        <f aca="false">INDEX($B$7:$H$7,WEEKDAY(K402,2))</f>
        <v>0</v>
      </c>
      <c r="M402" s="31" t="n">
        <f aca="false">SUM(L$5:L402)</f>
        <v>285</v>
      </c>
      <c r="N402" s="30" t="n">
        <f aca="false">N401+1</f>
        <v>46683</v>
      </c>
      <c r="O402" s="31" t="n">
        <f aca="false">INDEX($B$17:$H$17,WEEKDAY(N402,2))</f>
        <v>0</v>
      </c>
      <c r="P402" s="31" t="n">
        <f aca="false">SUM(O$5:O402)</f>
        <v>285</v>
      </c>
      <c r="Q402" s="30" t="n">
        <f aca="false">Q401+1</f>
        <v>46683</v>
      </c>
      <c r="R402" s="31" t="n">
        <f aca="false">INDEX($B$27:$H$27,WEEKDAY(Q402,2))</f>
        <v>0</v>
      </c>
      <c r="S402" s="31" t="n">
        <f aca="false">SUM(R$5:R402)</f>
        <v>285</v>
      </c>
    </row>
    <row r="403" customFormat="false" ht="15" hidden="false" customHeight="false" outlineLevel="0" collapsed="false">
      <c r="K403" s="30" t="n">
        <f aca="false">K402+1</f>
        <v>46684</v>
      </c>
      <c r="L403" s="31" t="n">
        <f aca="false">INDEX($B$7:$H$7,WEEKDAY(K403,2))</f>
        <v>0</v>
      </c>
      <c r="M403" s="31" t="n">
        <f aca="false">SUM(L$5:L403)</f>
        <v>285</v>
      </c>
      <c r="N403" s="30" t="n">
        <f aca="false">N402+1</f>
        <v>46684</v>
      </c>
      <c r="O403" s="31" t="n">
        <f aca="false">INDEX($B$17:$H$17,WEEKDAY(N403,2))</f>
        <v>0</v>
      </c>
      <c r="P403" s="31" t="n">
        <f aca="false">SUM(O$5:O403)</f>
        <v>285</v>
      </c>
      <c r="Q403" s="30" t="n">
        <f aca="false">Q402+1</f>
        <v>46684</v>
      </c>
      <c r="R403" s="31" t="n">
        <f aca="false">INDEX($B$27:$H$27,WEEKDAY(Q403,2))</f>
        <v>0</v>
      </c>
      <c r="S403" s="31" t="n">
        <f aca="false">SUM(R$5:R403)</f>
        <v>285</v>
      </c>
    </row>
    <row r="404" customFormat="false" ht="15" hidden="false" customHeight="false" outlineLevel="0" collapsed="false">
      <c r="K404" s="30" t="n">
        <f aca="false">K403+1</f>
        <v>46685</v>
      </c>
      <c r="L404" s="31" t="n">
        <f aca="false">INDEX($B$7:$H$7,WEEKDAY(K404,2))</f>
        <v>1</v>
      </c>
      <c r="M404" s="31" t="n">
        <f aca="false">SUM(L$5:L404)</f>
        <v>286</v>
      </c>
      <c r="N404" s="30" t="n">
        <f aca="false">N403+1</f>
        <v>46685</v>
      </c>
      <c r="O404" s="31" t="n">
        <f aca="false">INDEX($B$17:$H$17,WEEKDAY(N404,2))</f>
        <v>1</v>
      </c>
      <c r="P404" s="31" t="n">
        <f aca="false">SUM(O$5:O404)</f>
        <v>286</v>
      </c>
      <c r="Q404" s="30" t="n">
        <f aca="false">Q403+1</f>
        <v>46685</v>
      </c>
      <c r="R404" s="31" t="n">
        <f aca="false">INDEX($B$27:$H$27,WEEKDAY(Q404,2))</f>
        <v>1</v>
      </c>
      <c r="S404" s="31" t="n">
        <f aca="false">SUM(R$5:R404)</f>
        <v>286</v>
      </c>
    </row>
    <row r="405" customFormat="false" ht="15" hidden="false" customHeight="false" outlineLevel="0" collapsed="false">
      <c r="K405" s="30" t="n">
        <f aca="false">K404+1</f>
        <v>46686</v>
      </c>
      <c r="L405" s="31" t="n">
        <f aca="false">INDEX($B$7:$H$7,WEEKDAY(K405,2))</f>
        <v>1</v>
      </c>
      <c r="M405" s="31" t="n">
        <f aca="false">SUM(L$5:L405)</f>
        <v>287</v>
      </c>
      <c r="N405" s="30" t="n">
        <f aca="false">N404+1</f>
        <v>46686</v>
      </c>
      <c r="O405" s="31" t="n">
        <f aca="false">INDEX($B$17:$H$17,WEEKDAY(N405,2))</f>
        <v>1</v>
      </c>
      <c r="P405" s="31" t="n">
        <f aca="false">SUM(O$5:O405)</f>
        <v>287</v>
      </c>
      <c r="Q405" s="30" t="n">
        <f aca="false">Q404+1</f>
        <v>46686</v>
      </c>
      <c r="R405" s="31" t="n">
        <f aca="false">INDEX($B$27:$H$27,WEEKDAY(Q405,2))</f>
        <v>1</v>
      </c>
      <c r="S405" s="31" t="n">
        <f aca="false">SUM(R$5:R405)</f>
        <v>287</v>
      </c>
    </row>
    <row r="406" customFormat="false" ht="15" hidden="false" customHeight="false" outlineLevel="0" collapsed="false">
      <c r="K406" s="30" t="n">
        <f aca="false">K405+1</f>
        <v>46687</v>
      </c>
      <c r="L406" s="31" t="n">
        <f aca="false">INDEX($B$7:$H$7,WEEKDAY(K406,2))</f>
        <v>1</v>
      </c>
      <c r="M406" s="31" t="n">
        <f aca="false">SUM(L$5:L406)</f>
        <v>288</v>
      </c>
      <c r="N406" s="30" t="n">
        <f aca="false">N405+1</f>
        <v>46687</v>
      </c>
      <c r="O406" s="31" t="n">
        <f aca="false">INDEX($B$17:$H$17,WEEKDAY(N406,2))</f>
        <v>1</v>
      </c>
      <c r="P406" s="31" t="n">
        <f aca="false">SUM(O$5:O406)</f>
        <v>288</v>
      </c>
      <c r="Q406" s="30" t="n">
        <f aca="false">Q405+1</f>
        <v>46687</v>
      </c>
      <c r="R406" s="31" t="n">
        <f aca="false">INDEX($B$27:$H$27,WEEKDAY(Q406,2))</f>
        <v>1</v>
      </c>
      <c r="S406" s="31" t="n">
        <f aca="false">SUM(R$5:R406)</f>
        <v>288</v>
      </c>
    </row>
    <row r="407" customFormat="false" ht="15" hidden="false" customHeight="false" outlineLevel="0" collapsed="false">
      <c r="K407" s="30" t="n">
        <f aca="false">K406+1</f>
        <v>46688</v>
      </c>
      <c r="L407" s="31" t="n">
        <f aca="false">INDEX($B$7:$H$7,WEEKDAY(K407,2))</f>
        <v>1</v>
      </c>
      <c r="M407" s="31" t="n">
        <f aca="false">SUM(L$5:L407)</f>
        <v>289</v>
      </c>
      <c r="N407" s="30" t="n">
        <f aca="false">N406+1</f>
        <v>46688</v>
      </c>
      <c r="O407" s="31" t="n">
        <f aca="false">INDEX($B$17:$H$17,WEEKDAY(N407,2))</f>
        <v>1</v>
      </c>
      <c r="P407" s="31" t="n">
        <f aca="false">SUM(O$5:O407)</f>
        <v>289</v>
      </c>
      <c r="Q407" s="30" t="n">
        <f aca="false">Q406+1</f>
        <v>46688</v>
      </c>
      <c r="R407" s="31" t="n">
        <f aca="false">INDEX($B$27:$H$27,WEEKDAY(Q407,2))</f>
        <v>1</v>
      </c>
      <c r="S407" s="31" t="n">
        <f aca="false">SUM(R$5:R407)</f>
        <v>289</v>
      </c>
    </row>
    <row r="408" customFormat="false" ht="15" hidden="false" customHeight="false" outlineLevel="0" collapsed="false">
      <c r="K408" s="30" t="n">
        <f aca="false">K407+1</f>
        <v>46689</v>
      </c>
      <c r="L408" s="31" t="n">
        <f aca="false">INDEX($B$7:$H$7,WEEKDAY(K408,2))</f>
        <v>1</v>
      </c>
      <c r="M408" s="31" t="n">
        <f aca="false">SUM(L$5:L408)</f>
        <v>290</v>
      </c>
      <c r="N408" s="30" t="n">
        <f aca="false">N407+1</f>
        <v>46689</v>
      </c>
      <c r="O408" s="31" t="n">
        <f aca="false">INDEX($B$17:$H$17,WEEKDAY(N408,2))</f>
        <v>1</v>
      </c>
      <c r="P408" s="31" t="n">
        <f aca="false">SUM(O$5:O408)</f>
        <v>290</v>
      </c>
      <c r="Q408" s="30" t="n">
        <f aca="false">Q407+1</f>
        <v>46689</v>
      </c>
      <c r="R408" s="31" t="n">
        <f aca="false">INDEX($B$27:$H$27,WEEKDAY(Q408,2))</f>
        <v>1</v>
      </c>
      <c r="S408" s="31" t="n">
        <f aca="false">SUM(R$5:R408)</f>
        <v>290</v>
      </c>
    </row>
    <row r="409" customFormat="false" ht="15" hidden="false" customHeight="false" outlineLevel="0" collapsed="false">
      <c r="K409" s="30" t="n">
        <f aca="false">K408+1</f>
        <v>46690</v>
      </c>
      <c r="L409" s="31" t="n">
        <f aca="false">INDEX($B$7:$H$7,WEEKDAY(K409,2))</f>
        <v>0</v>
      </c>
      <c r="M409" s="31" t="n">
        <f aca="false">SUM(L$5:L409)</f>
        <v>290</v>
      </c>
      <c r="N409" s="30" t="n">
        <f aca="false">N408+1</f>
        <v>46690</v>
      </c>
      <c r="O409" s="31" t="n">
        <f aca="false">INDEX($B$17:$H$17,WEEKDAY(N409,2))</f>
        <v>0</v>
      </c>
      <c r="P409" s="31" t="n">
        <f aca="false">SUM(O$5:O409)</f>
        <v>290</v>
      </c>
      <c r="Q409" s="30" t="n">
        <f aca="false">Q408+1</f>
        <v>46690</v>
      </c>
      <c r="R409" s="31" t="n">
        <f aca="false">INDEX($B$27:$H$27,WEEKDAY(Q409,2))</f>
        <v>0</v>
      </c>
      <c r="S409" s="31" t="n">
        <f aca="false">SUM(R$5:R409)</f>
        <v>290</v>
      </c>
    </row>
    <row r="410" customFormat="false" ht="15" hidden="false" customHeight="false" outlineLevel="0" collapsed="false">
      <c r="K410" s="30" t="n">
        <f aca="false">K409+1</f>
        <v>46691</v>
      </c>
      <c r="L410" s="31" t="n">
        <f aca="false">INDEX($B$7:$H$7,WEEKDAY(K410,2))</f>
        <v>0</v>
      </c>
      <c r="M410" s="31" t="n">
        <f aca="false">SUM(L$5:L410)</f>
        <v>290</v>
      </c>
      <c r="N410" s="30" t="n">
        <f aca="false">N409+1</f>
        <v>46691</v>
      </c>
      <c r="O410" s="31" t="n">
        <f aca="false">INDEX($B$17:$H$17,WEEKDAY(N410,2))</f>
        <v>0</v>
      </c>
      <c r="P410" s="31" t="n">
        <f aca="false">SUM(O$5:O410)</f>
        <v>290</v>
      </c>
      <c r="Q410" s="30" t="n">
        <f aca="false">Q409+1</f>
        <v>46691</v>
      </c>
      <c r="R410" s="31" t="n">
        <f aca="false">INDEX($B$27:$H$27,WEEKDAY(Q410,2))</f>
        <v>0</v>
      </c>
      <c r="S410" s="31" t="n">
        <f aca="false">SUM(R$5:R410)</f>
        <v>290</v>
      </c>
    </row>
    <row r="411" customFormat="false" ht="15" hidden="false" customHeight="false" outlineLevel="0" collapsed="false">
      <c r="K411" s="30" t="n">
        <f aca="false">K410+1</f>
        <v>46692</v>
      </c>
      <c r="L411" s="31" t="n">
        <f aca="false">INDEX($B$7:$H$7,WEEKDAY(K411,2))</f>
        <v>1</v>
      </c>
      <c r="M411" s="31" t="n">
        <f aca="false">SUM(L$5:L411)</f>
        <v>291</v>
      </c>
      <c r="N411" s="30" t="n">
        <f aca="false">N410+1</f>
        <v>46692</v>
      </c>
      <c r="O411" s="31" t="n">
        <f aca="false">INDEX($B$17:$H$17,WEEKDAY(N411,2))</f>
        <v>1</v>
      </c>
      <c r="P411" s="31" t="n">
        <f aca="false">SUM(O$5:O411)</f>
        <v>291</v>
      </c>
      <c r="Q411" s="30" t="n">
        <f aca="false">Q410+1</f>
        <v>46692</v>
      </c>
      <c r="R411" s="31" t="n">
        <f aca="false">INDEX($B$27:$H$27,WEEKDAY(Q411,2))</f>
        <v>1</v>
      </c>
      <c r="S411" s="31" t="n">
        <f aca="false">SUM(R$5:R411)</f>
        <v>291</v>
      </c>
    </row>
    <row r="412" customFormat="false" ht="15" hidden="false" customHeight="false" outlineLevel="0" collapsed="false">
      <c r="K412" s="30" t="n">
        <f aca="false">K411+1</f>
        <v>46693</v>
      </c>
      <c r="L412" s="31" t="n">
        <f aca="false">INDEX($B$7:$H$7,WEEKDAY(K412,2))</f>
        <v>1</v>
      </c>
      <c r="M412" s="31" t="n">
        <f aca="false">SUM(L$5:L412)</f>
        <v>292</v>
      </c>
      <c r="N412" s="30" t="n">
        <f aca="false">N411+1</f>
        <v>46693</v>
      </c>
      <c r="O412" s="31" t="n">
        <f aca="false">INDEX($B$17:$H$17,WEEKDAY(N412,2))</f>
        <v>1</v>
      </c>
      <c r="P412" s="31" t="n">
        <f aca="false">SUM(O$5:O412)</f>
        <v>292</v>
      </c>
      <c r="Q412" s="30" t="n">
        <f aca="false">Q411+1</f>
        <v>46693</v>
      </c>
      <c r="R412" s="31" t="n">
        <f aca="false">INDEX($B$27:$H$27,WEEKDAY(Q412,2))</f>
        <v>1</v>
      </c>
      <c r="S412" s="31" t="n">
        <f aca="false">SUM(R$5:R412)</f>
        <v>292</v>
      </c>
    </row>
    <row r="413" customFormat="false" ht="15" hidden="false" customHeight="false" outlineLevel="0" collapsed="false">
      <c r="K413" s="30" t="n">
        <f aca="false">K412+1</f>
        <v>46694</v>
      </c>
      <c r="L413" s="31" t="n">
        <f aca="false">INDEX($B$7:$H$7,WEEKDAY(K413,2))</f>
        <v>1</v>
      </c>
      <c r="M413" s="31" t="n">
        <f aca="false">SUM(L$5:L413)</f>
        <v>293</v>
      </c>
      <c r="N413" s="30" t="n">
        <f aca="false">N412+1</f>
        <v>46694</v>
      </c>
      <c r="O413" s="31" t="n">
        <f aca="false">INDEX($B$17:$H$17,WEEKDAY(N413,2))</f>
        <v>1</v>
      </c>
      <c r="P413" s="31" t="n">
        <f aca="false">SUM(O$5:O413)</f>
        <v>293</v>
      </c>
      <c r="Q413" s="30" t="n">
        <f aca="false">Q412+1</f>
        <v>46694</v>
      </c>
      <c r="R413" s="31" t="n">
        <f aca="false">INDEX($B$27:$H$27,WEEKDAY(Q413,2))</f>
        <v>1</v>
      </c>
      <c r="S413" s="31" t="n">
        <f aca="false">SUM(R$5:R413)</f>
        <v>293</v>
      </c>
    </row>
    <row r="414" customFormat="false" ht="15" hidden="false" customHeight="false" outlineLevel="0" collapsed="false">
      <c r="K414" s="30" t="n">
        <f aca="false">K413+1</f>
        <v>46695</v>
      </c>
      <c r="L414" s="31" t="n">
        <f aca="false">INDEX($B$7:$H$7,WEEKDAY(K414,2))</f>
        <v>1</v>
      </c>
      <c r="M414" s="31" t="n">
        <f aca="false">SUM(L$5:L414)</f>
        <v>294</v>
      </c>
      <c r="N414" s="30" t="n">
        <f aca="false">N413+1</f>
        <v>46695</v>
      </c>
      <c r="O414" s="31" t="n">
        <f aca="false">INDEX($B$17:$H$17,WEEKDAY(N414,2))</f>
        <v>1</v>
      </c>
      <c r="P414" s="31" t="n">
        <f aca="false">SUM(O$5:O414)</f>
        <v>294</v>
      </c>
      <c r="Q414" s="30" t="n">
        <f aca="false">Q413+1</f>
        <v>46695</v>
      </c>
      <c r="R414" s="31" t="n">
        <f aca="false">INDEX($B$27:$H$27,WEEKDAY(Q414,2))</f>
        <v>1</v>
      </c>
      <c r="S414" s="31" t="n">
        <f aca="false">SUM(R$5:R414)</f>
        <v>294</v>
      </c>
    </row>
    <row r="415" customFormat="false" ht="15" hidden="false" customHeight="false" outlineLevel="0" collapsed="false">
      <c r="K415" s="30" t="n">
        <f aca="false">K414+1</f>
        <v>46696</v>
      </c>
      <c r="L415" s="31" t="n">
        <f aca="false">INDEX($B$7:$H$7,WEEKDAY(K415,2))</f>
        <v>1</v>
      </c>
      <c r="M415" s="31" t="n">
        <f aca="false">SUM(L$5:L415)</f>
        <v>295</v>
      </c>
      <c r="N415" s="30" t="n">
        <f aca="false">N414+1</f>
        <v>46696</v>
      </c>
      <c r="O415" s="31" t="n">
        <f aca="false">INDEX($B$17:$H$17,WEEKDAY(N415,2))</f>
        <v>1</v>
      </c>
      <c r="P415" s="31" t="n">
        <f aca="false">SUM(O$5:O415)</f>
        <v>295</v>
      </c>
      <c r="Q415" s="30" t="n">
        <f aca="false">Q414+1</f>
        <v>46696</v>
      </c>
      <c r="R415" s="31" t="n">
        <f aca="false">INDEX($B$27:$H$27,WEEKDAY(Q415,2))</f>
        <v>1</v>
      </c>
      <c r="S415" s="31" t="n">
        <f aca="false">SUM(R$5:R415)</f>
        <v>295</v>
      </c>
    </row>
    <row r="416" customFormat="false" ht="15" hidden="false" customHeight="false" outlineLevel="0" collapsed="false">
      <c r="K416" s="30" t="n">
        <f aca="false">K415+1</f>
        <v>46697</v>
      </c>
      <c r="L416" s="31" t="n">
        <f aca="false">INDEX($B$7:$H$7,WEEKDAY(K416,2))</f>
        <v>0</v>
      </c>
      <c r="M416" s="31" t="n">
        <f aca="false">SUM(L$5:L416)</f>
        <v>295</v>
      </c>
      <c r="N416" s="30" t="n">
        <f aca="false">N415+1</f>
        <v>46697</v>
      </c>
      <c r="O416" s="31" t="n">
        <f aca="false">INDEX($B$17:$H$17,WEEKDAY(N416,2))</f>
        <v>0</v>
      </c>
      <c r="P416" s="31" t="n">
        <f aca="false">SUM(O$5:O416)</f>
        <v>295</v>
      </c>
      <c r="Q416" s="30" t="n">
        <f aca="false">Q415+1</f>
        <v>46697</v>
      </c>
      <c r="R416" s="31" t="n">
        <f aca="false">INDEX($B$27:$H$27,WEEKDAY(Q416,2))</f>
        <v>0</v>
      </c>
      <c r="S416" s="31" t="n">
        <f aca="false">SUM(R$5:R416)</f>
        <v>295</v>
      </c>
    </row>
    <row r="417" customFormat="false" ht="15" hidden="false" customHeight="false" outlineLevel="0" collapsed="false">
      <c r="K417" s="30" t="n">
        <f aca="false">K416+1</f>
        <v>46698</v>
      </c>
      <c r="L417" s="31" t="n">
        <f aca="false">INDEX($B$7:$H$7,WEEKDAY(K417,2))</f>
        <v>0</v>
      </c>
      <c r="M417" s="31" t="n">
        <f aca="false">SUM(L$5:L417)</f>
        <v>295</v>
      </c>
      <c r="N417" s="30" t="n">
        <f aca="false">N416+1</f>
        <v>46698</v>
      </c>
      <c r="O417" s="31" t="n">
        <f aca="false">INDEX($B$17:$H$17,WEEKDAY(N417,2))</f>
        <v>0</v>
      </c>
      <c r="P417" s="31" t="n">
        <f aca="false">SUM(O$5:O417)</f>
        <v>295</v>
      </c>
      <c r="Q417" s="30" t="n">
        <f aca="false">Q416+1</f>
        <v>46698</v>
      </c>
      <c r="R417" s="31" t="n">
        <f aca="false">INDEX($B$27:$H$27,WEEKDAY(Q417,2))</f>
        <v>0</v>
      </c>
      <c r="S417" s="31" t="n">
        <f aca="false">SUM(R$5:R417)</f>
        <v>295</v>
      </c>
    </row>
    <row r="418" customFormat="false" ht="15" hidden="false" customHeight="false" outlineLevel="0" collapsed="false">
      <c r="K418" s="30" t="n">
        <f aca="false">K417+1</f>
        <v>46699</v>
      </c>
      <c r="L418" s="31" t="n">
        <f aca="false">INDEX($B$7:$H$7,WEEKDAY(K418,2))</f>
        <v>1</v>
      </c>
      <c r="M418" s="31" t="n">
        <f aca="false">SUM(L$5:L418)</f>
        <v>296</v>
      </c>
      <c r="N418" s="30" t="n">
        <f aca="false">N417+1</f>
        <v>46699</v>
      </c>
      <c r="O418" s="31" t="n">
        <f aca="false">INDEX($B$17:$H$17,WEEKDAY(N418,2))</f>
        <v>1</v>
      </c>
      <c r="P418" s="31" t="n">
        <f aca="false">SUM(O$5:O418)</f>
        <v>296</v>
      </c>
      <c r="Q418" s="30" t="n">
        <f aca="false">Q417+1</f>
        <v>46699</v>
      </c>
      <c r="R418" s="31" t="n">
        <f aca="false">INDEX($B$27:$H$27,WEEKDAY(Q418,2))</f>
        <v>1</v>
      </c>
      <c r="S418" s="31" t="n">
        <f aca="false">SUM(R$5:R418)</f>
        <v>296</v>
      </c>
    </row>
    <row r="419" customFormat="false" ht="15" hidden="false" customHeight="false" outlineLevel="0" collapsed="false">
      <c r="K419" s="30" t="n">
        <f aca="false">K418+1</f>
        <v>46700</v>
      </c>
      <c r="L419" s="31" t="n">
        <f aca="false">INDEX($B$7:$H$7,WEEKDAY(K419,2))</f>
        <v>1</v>
      </c>
      <c r="M419" s="31" t="n">
        <f aca="false">SUM(L$5:L419)</f>
        <v>297</v>
      </c>
      <c r="N419" s="30" t="n">
        <f aca="false">N418+1</f>
        <v>46700</v>
      </c>
      <c r="O419" s="31" t="n">
        <f aca="false">INDEX($B$17:$H$17,WEEKDAY(N419,2))</f>
        <v>1</v>
      </c>
      <c r="P419" s="31" t="n">
        <f aca="false">SUM(O$5:O419)</f>
        <v>297</v>
      </c>
      <c r="Q419" s="30" t="n">
        <f aca="false">Q418+1</f>
        <v>46700</v>
      </c>
      <c r="R419" s="31" t="n">
        <f aca="false">INDEX($B$27:$H$27,WEEKDAY(Q419,2))</f>
        <v>1</v>
      </c>
      <c r="S419" s="31" t="n">
        <f aca="false">SUM(R$5:R419)</f>
        <v>297</v>
      </c>
    </row>
    <row r="420" customFormat="false" ht="15" hidden="false" customHeight="false" outlineLevel="0" collapsed="false">
      <c r="K420" s="30" t="n">
        <f aca="false">K419+1</f>
        <v>46701</v>
      </c>
      <c r="L420" s="31" t="n">
        <f aca="false">INDEX($B$7:$H$7,WEEKDAY(K420,2))</f>
        <v>1</v>
      </c>
      <c r="M420" s="31" t="n">
        <f aca="false">SUM(L$5:L420)</f>
        <v>298</v>
      </c>
      <c r="N420" s="30" t="n">
        <f aca="false">N419+1</f>
        <v>46701</v>
      </c>
      <c r="O420" s="31" t="n">
        <f aca="false">INDEX($B$17:$H$17,WEEKDAY(N420,2))</f>
        <v>1</v>
      </c>
      <c r="P420" s="31" t="n">
        <f aca="false">SUM(O$5:O420)</f>
        <v>298</v>
      </c>
      <c r="Q420" s="30" t="n">
        <f aca="false">Q419+1</f>
        <v>46701</v>
      </c>
      <c r="R420" s="31" t="n">
        <f aca="false">INDEX($B$27:$H$27,WEEKDAY(Q420,2))</f>
        <v>1</v>
      </c>
      <c r="S420" s="31" t="n">
        <f aca="false">SUM(R$5:R420)</f>
        <v>298</v>
      </c>
    </row>
    <row r="421" customFormat="false" ht="15" hidden="false" customHeight="false" outlineLevel="0" collapsed="false">
      <c r="K421" s="30" t="n">
        <f aca="false">K420+1</f>
        <v>46702</v>
      </c>
      <c r="L421" s="31" t="n">
        <f aca="false">INDEX($B$7:$H$7,WEEKDAY(K421,2))</f>
        <v>1</v>
      </c>
      <c r="M421" s="31" t="n">
        <f aca="false">SUM(L$5:L421)</f>
        <v>299</v>
      </c>
      <c r="N421" s="30" t="n">
        <f aca="false">N420+1</f>
        <v>46702</v>
      </c>
      <c r="O421" s="31" t="n">
        <f aca="false">INDEX($B$17:$H$17,WEEKDAY(N421,2))</f>
        <v>1</v>
      </c>
      <c r="P421" s="31" t="n">
        <f aca="false">SUM(O$5:O421)</f>
        <v>299</v>
      </c>
      <c r="Q421" s="30" t="n">
        <f aca="false">Q420+1</f>
        <v>46702</v>
      </c>
      <c r="R421" s="31" t="n">
        <f aca="false">INDEX($B$27:$H$27,WEEKDAY(Q421,2))</f>
        <v>1</v>
      </c>
      <c r="S421" s="31" t="n">
        <f aca="false">SUM(R$5:R421)</f>
        <v>299</v>
      </c>
    </row>
    <row r="422" customFormat="false" ht="15" hidden="false" customHeight="false" outlineLevel="0" collapsed="false">
      <c r="K422" s="30" t="n">
        <f aca="false">K421+1</f>
        <v>46703</v>
      </c>
      <c r="L422" s="31" t="n">
        <f aca="false">INDEX($B$7:$H$7,WEEKDAY(K422,2))</f>
        <v>1</v>
      </c>
      <c r="M422" s="31" t="n">
        <f aca="false">SUM(L$5:L422)</f>
        <v>300</v>
      </c>
      <c r="N422" s="30" t="n">
        <f aca="false">N421+1</f>
        <v>46703</v>
      </c>
      <c r="O422" s="31" t="n">
        <f aca="false">INDEX($B$17:$H$17,WEEKDAY(N422,2))</f>
        <v>1</v>
      </c>
      <c r="P422" s="31" t="n">
        <f aca="false">SUM(O$5:O422)</f>
        <v>300</v>
      </c>
      <c r="Q422" s="30" t="n">
        <f aca="false">Q421+1</f>
        <v>46703</v>
      </c>
      <c r="R422" s="31" t="n">
        <f aca="false">INDEX($B$27:$H$27,WEEKDAY(Q422,2))</f>
        <v>1</v>
      </c>
      <c r="S422" s="31" t="n">
        <f aca="false">SUM(R$5:R422)</f>
        <v>300</v>
      </c>
    </row>
    <row r="423" customFormat="false" ht="15" hidden="false" customHeight="false" outlineLevel="0" collapsed="false">
      <c r="K423" s="30" t="n">
        <f aca="false">K422+1</f>
        <v>46704</v>
      </c>
      <c r="L423" s="31" t="n">
        <f aca="false">INDEX($B$7:$H$7,WEEKDAY(K423,2))</f>
        <v>0</v>
      </c>
      <c r="M423" s="31" t="n">
        <f aca="false">SUM(L$5:L423)</f>
        <v>300</v>
      </c>
      <c r="N423" s="30" t="n">
        <f aca="false">N422+1</f>
        <v>46704</v>
      </c>
      <c r="O423" s="31" t="n">
        <f aca="false">INDEX($B$17:$H$17,WEEKDAY(N423,2))</f>
        <v>0</v>
      </c>
      <c r="P423" s="31" t="n">
        <f aca="false">SUM(O$5:O423)</f>
        <v>300</v>
      </c>
      <c r="Q423" s="30" t="n">
        <f aca="false">Q422+1</f>
        <v>46704</v>
      </c>
      <c r="R423" s="31" t="n">
        <f aca="false">INDEX($B$27:$H$27,WEEKDAY(Q423,2))</f>
        <v>0</v>
      </c>
      <c r="S423" s="31" t="n">
        <f aca="false">SUM(R$5:R423)</f>
        <v>300</v>
      </c>
    </row>
    <row r="424" customFormat="false" ht="15" hidden="false" customHeight="false" outlineLevel="0" collapsed="false">
      <c r="K424" s="30" t="n">
        <f aca="false">K423+1</f>
        <v>46705</v>
      </c>
      <c r="L424" s="31" t="n">
        <f aca="false">INDEX($B$7:$H$7,WEEKDAY(K424,2))</f>
        <v>0</v>
      </c>
      <c r="M424" s="31" t="n">
        <f aca="false">SUM(L$5:L424)</f>
        <v>300</v>
      </c>
      <c r="N424" s="30" t="n">
        <f aca="false">N423+1</f>
        <v>46705</v>
      </c>
      <c r="O424" s="31" t="n">
        <f aca="false">INDEX($B$17:$H$17,WEEKDAY(N424,2))</f>
        <v>0</v>
      </c>
      <c r="P424" s="31" t="n">
        <f aca="false">SUM(O$5:O424)</f>
        <v>300</v>
      </c>
      <c r="Q424" s="30" t="n">
        <f aca="false">Q423+1</f>
        <v>46705</v>
      </c>
      <c r="R424" s="31" t="n">
        <f aca="false">INDEX($B$27:$H$27,WEEKDAY(Q424,2))</f>
        <v>0</v>
      </c>
      <c r="S424" s="31" t="n">
        <f aca="false">SUM(R$5:R424)</f>
        <v>300</v>
      </c>
    </row>
    <row r="425" customFormat="false" ht="15" hidden="false" customHeight="false" outlineLevel="0" collapsed="false">
      <c r="K425" s="30" t="n">
        <f aca="false">K424+1</f>
        <v>46706</v>
      </c>
      <c r="L425" s="31" t="n">
        <f aca="false">INDEX($B$7:$H$7,WEEKDAY(K425,2))</f>
        <v>1</v>
      </c>
      <c r="M425" s="31" t="n">
        <f aca="false">SUM(L$5:L425)</f>
        <v>301</v>
      </c>
      <c r="N425" s="30" t="n">
        <f aca="false">N424+1</f>
        <v>46706</v>
      </c>
      <c r="O425" s="31" t="n">
        <f aca="false">INDEX($B$17:$H$17,WEEKDAY(N425,2))</f>
        <v>1</v>
      </c>
      <c r="P425" s="31" t="n">
        <f aca="false">SUM(O$5:O425)</f>
        <v>301</v>
      </c>
      <c r="Q425" s="30" t="n">
        <f aca="false">Q424+1</f>
        <v>46706</v>
      </c>
      <c r="R425" s="31" t="n">
        <f aca="false">INDEX($B$27:$H$27,WEEKDAY(Q425,2))</f>
        <v>1</v>
      </c>
      <c r="S425" s="31" t="n">
        <f aca="false">SUM(R$5:R425)</f>
        <v>301</v>
      </c>
    </row>
    <row r="426" customFormat="false" ht="15" hidden="false" customHeight="false" outlineLevel="0" collapsed="false">
      <c r="K426" s="30" t="n">
        <f aca="false">K425+1</f>
        <v>46707</v>
      </c>
      <c r="L426" s="31" t="n">
        <f aca="false">INDEX($B$7:$H$7,WEEKDAY(K426,2))</f>
        <v>1</v>
      </c>
      <c r="M426" s="31" t="n">
        <f aca="false">SUM(L$5:L426)</f>
        <v>302</v>
      </c>
      <c r="N426" s="30" t="n">
        <f aca="false">N425+1</f>
        <v>46707</v>
      </c>
      <c r="O426" s="31" t="n">
        <f aca="false">INDEX($B$17:$H$17,WEEKDAY(N426,2))</f>
        <v>1</v>
      </c>
      <c r="P426" s="31" t="n">
        <f aca="false">SUM(O$5:O426)</f>
        <v>302</v>
      </c>
      <c r="Q426" s="30" t="n">
        <f aca="false">Q425+1</f>
        <v>46707</v>
      </c>
      <c r="R426" s="31" t="n">
        <f aca="false">INDEX($B$27:$H$27,WEEKDAY(Q426,2))</f>
        <v>1</v>
      </c>
      <c r="S426" s="31" t="n">
        <f aca="false">SUM(R$5:R426)</f>
        <v>302</v>
      </c>
    </row>
    <row r="427" customFormat="false" ht="15" hidden="false" customHeight="false" outlineLevel="0" collapsed="false">
      <c r="K427" s="30" t="n">
        <f aca="false">K426+1</f>
        <v>46708</v>
      </c>
      <c r="L427" s="31" t="n">
        <f aca="false">INDEX($B$7:$H$7,WEEKDAY(K427,2))</f>
        <v>1</v>
      </c>
      <c r="M427" s="31" t="n">
        <f aca="false">SUM(L$5:L427)</f>
        <v>303</v>
      </c>
      <c r="N427" s="30" t="n">
        <f aca="false">N426+1</f>
        <v>46708</v>
      </c>
      <c r="O427" s="31" t="n">
        <f aca="false">INDEX($B$17:$H$17,WEEKDAY(N427,2))</f>
        <v>1</v>
      </c>
      <c r="P427" s="31" t="n">
        <f aca="false">SUM(O$5:O427)</f>
        <v>303</v>
      </c>
      <c r="Q427" s="30" t="n">
        <f aca="false">Q426+1</f>
        <v>46708</v>
      </c>
      <c r="R427" s="31" t="n">
        <f aca="false">INDEX($B$27:$H$27,WEEKDAY(Q427,2))</f>
        <v>1</v>
      </c>
      <c r="S427" s="31" t="n">
        <f aca="false">SUM(R$5:R427)</f>
        <v>303</v>
      </c>
    </row>
    <row r="428" customFormat="false" ht="15" hidden="false" customHeight="false" outlineLevel="0" collapsed="false">
      <c r="K428" s="30" t="n">
        <f aca="false">K427+1</f>
        <v>46709</v>
      </c>
      <c r="L428" s="31" t="n">
        <f aca="false">INDEX($B$7:$H$7,WEEKDAY(K428,2))</f>
        <v>1</v>
      </c>
      <c r="M428" s="31" t="n">
        <f aca="false">SUM(L$5:L428)</f>
        <v>304</v>
      </c>
      <c r="N428" s="30" t="n">
        <f aca="false">N427+1</f>
        <v>46709</v>
      </c>
      <c r="O428" s="31" t="n">
        <f aca="false">INDEX($B$17:$H$17,WEEKDAY(N428,2))</f>
        <v>1</v>
      </c>
      <c r="P428" s="31" t="n">
        <f aca="false">SUM(O$5:O428)</f>
        <v>304</v>
      </c>
      <c r="Q428" s="30" t="n">
        <f aca="false">Q427+1</f>
        <v>46709</v>
      </c>
      <c r="R428" s="31" t="n">
        <f aca="false">INDEX($B$27:$H$27,WEEKDAY(Q428,2))</f>
        <v>1</v>
      </c>
      <c r="S428" s="31" t="n">
        <f aca="false">SUM(R$5:R428)</f>
        <v>304</v>
      </c>
    </row>
    <row r="429" customFormat="false" ht="15" hidden="false" customHeight="false" outlineLevel="0" collapsed="false">
      <c r="K429" s="30" t="n">
        <f aca="false">K428+1</f>
        <v>46710</v>
      </c>
      <c r="L429" s="31" t="n">
        <f aca="false">INDEX($B$7:$H$7,WEEKDAY(K429,2))</f>
        <v>1</v>
      </c>
      <c r="M429" s="31" t="n">
        <f aca="false">SUM(L$5:L429)</f>
        <v>305</v>
      </c>
      <c r="N429" s="30" t="n">
        <f aca="false">N428+1</f>
        <v>46710</v>
      </c>
      <c r="O429" s="31" t="n">
        <f aca="false">INDEX($B$17:$H$17,WEEKDAY(N429,2))</f>
        <v>1</v>
      </c>
      <c r="P429" s="31" t="n">
        <f aca="false">SUM(O$5:O429)</f>
        <v>305</v>
      </c>
      <c r="Q429" s="30" t="n">
        <f aca="false">Q428+1</f>
        <v>46710</v>
      </c>
      <c r="R429" s="31" t="n">
        <f aca="false">INDEX($B$27:$H$27,WEEKDAY(Q429,2))</f>
        <v>1</v>
      </c>
      <c r="S429" s="31" t="n">
        <f aca="false">SUM(R$5:R429)</f>
        <v>305</v>
      </c>
    </row>
    <row r="430" customFormat="false" ht="15" hidden="false" customHeight="false" outlineLevel="0" collapsed="false">
      <c r="K430" s="30" t="n">
        <f aca="false">K429+1</f>
        <v>46711</v>
      </c>
      <c r="L430" s="31" t="n">
        <f aca="false">INDEX($B$7:$H$7,WEEKDAY(K430,2))</f>
        <v>0</v>
      </c>
      <c r="M430" s="31" t="n">
        <f aca="false">SUM(L$5:L430)</f>
        <v>305</v>
      </c>
      <c r="N430" s="30" t="n">
        <f aca="false">N429+1</f>
        <v>46711</v>
      </c>
      <c r="O430" s="31" t="n">
        <f aca="false">INDEX($B$17:$H$17,WEEKDAY(N430,2))</f>
        <v>0</v>
      </c>
      <c r="P430" s="31" t="n">
        <f aca="false">SUM(O$5:O430)</f>
        <v>305</v>
      </c>
      <c r="Q430" s="30" t="n">
        <f aca="false">Q429+1</f>
        <v>46711</v>
      </c>
      <c r="R430" s="31" t="n">
        <f aca="false">INDEX($B$27:$H$27,WEEKDAY(Q430,2))</f>
        <v>0</v>
      </c>
      <c r="S430" s="31" t="n">
        <f aca="false">SUM(R$5:R430)</f>
        <v>305</v>
      </c>
    </row>
    <row r="431" customFormat="false" ht="15" hidden="false" customHeight="false" outlineLevel="0" collapsed="false">
      <c r="K431" s="30" t="n">
        <f aca="false">K430+1</f>
        <v>46712</v>
      </c>
      <c r="L431" s="31" t="n">
        <f aca="false">INDEX($B$7:$H$7,WEEKDAY(K431,2))</f>
        <v>0</v>
      </c>
      <c r="M431" s="31" t="n">
        <f aca="false">SUM(L$5:L431)</f>
        <v>305</v>
      </c>
      <c r="N431" s="30" t="n">
        <f aca="false">N430+1</f>
        <v>46712</v>
      </c>
      <c r="O431" s="31" t="n">
        <f aca="false">INDEX($B$17:$H$17,WEEKDAY(N431,2))</f>
        <v>0</v>
      </c>
      <c r="P431" s="31" t="n">
        <f aca="false">SUM(O$5:O431)</f>
        <v>305</v>
      </c>
      <c r="Q431" s="30" t="n">
        <f aca="false">Q430+1</f>
        <v>46712</v>
      </c>
      <c r="R431" s="31" t="n">
        <f aca="false">INDEX($B$27:$H$27,WEEKDAY(Q431,2))</f>
        <v>0</v>
      </c>
      <c r="S431" s="31" t="n">
        <f aca="false">SUM(R$5:R431)</f>
        <v>305</v>
      </c>
    </row>
    <row r="432" customFormat="false" ht="15" hidden="false" customHeight="false" outlineLevel="0" collapsed="false">
      <c r="K432" s="30" t="n">
        <f aca="false">K431+1</f>
        <v>46713</v>
      </c>
      <c r="L432" s="31" t="n">
        <f aca="false">INDEX($B$7:$H$7,WEEKDAY(K432,2))</f>
        <v>1</v>
      </c>
      <c r="M432" s="31" t="n">
        <f aca="false">SUM(L$5:L432)</f>
        <v>306</v>
      </c>
      <c r="N432" s="30" t="n">
        <f aca="false">N431+1</f>
        <v>46713</v>
      </c>
      <c r="O432" s="31" t="n">
        <f aca="false">INDEX($B$17:$H$17,WEEKDAY(N432,2))</f>
        <v>1</v>
      </c>
      <c r="P432" s="31" t="n">
        <f aca="false">SUM(O$5:O432)</f>
        <v>306</v>
      </c>
      <c r="Q432" s="30" t="n">
        <f aca="false">Q431+1</f>
        <v>46713</v>
      </c>
      <c r="R432" s="31" t="n">
        <f aca="false">INDEX($B$27:$H$27,WEEKDAY(Q432,2))</f>
        <v>1</v>
      </c>
      <c r="S432" s="31" t="n">
        <f aca="false">SUM(R$5:R432)</f>
        <v>306</v>
      </c>
    </row>
    <row r="433" customFormat="false" ht="15" hidden="false" customHeight="false" outlineLevel="0" collapsed="false">
      <c r="K433" s="30" t="n">
        <f aca="false">K432+1</f>
        <v>46714</v>
      </c>
      <c r="L433" s="31" t="n">
        <f aca="false">INDEX($B$7:$H$7,WEEKDAY(K433,2))</f>
        <v>1</v>
      </c>
      <c r="M433" s="31" t="n">
        <f aca="false">SUM(L$5:L433)</f>
        <v>307</v>
      </c>
      <c r="N433" s="30" t="n">
        <f aca="false">N432+1</f>
        <v>46714</v>
      </c>
      <c r="O433" s="31" t="n">
        <f aca="false">INDEX($B$17:$H$17,WEEKDAY(N433,2))</f>
        <v>1</v>
      </c>
      <c r="P433" s="31" t="n">
        <f aca="false">SUM(O$5:O433)</f>
        <v>307</v>
      </c>
      <c r="Q433" s="30" t="n">
        <f aca="false">Q432+1</f>
        <v>46714</v>
      </c>
      <c r="R433" s="31" t="n">
        <f aca="false">INDEX($B$27:$H$27,WEEKDAY(Q433,2))</f>
        <v>1</v>
      </c>
      <c r="S433" s="31" t="n">
        <f aca="false">SUM(R$5:R433)</f>
        <v>307</v>
      </c>
    </row>
    <row r="434" customFormat="false" ht="15" hidden="false" customHeight="false" outlineLevel="0" collapsed="false">
      <c r="K434" s="30" t="n">
        <f aca="false">K433+1</f>
        <v>46715</v>
      </c>
      <c r="L434" s="31" t="n">
        <f aca="false">INDEX($B$7:$H$7,WEEKDAY(K434,2))</f>
        <v>1</v>
      </c>
      <c r="M434" s="31" t="n">
        <f aca="false">SUM(L$5:L434)</f>
        <v>308</v>
      </c>
      <c r="N434" s="30" t="n">
        <f aca="false">N433+1</f>
        <v>46715</v>
      </c>
      <c r="O434" s="31" t="n">
        <f aca="false">INDEX($B$17:$H$17,WEEKDAY(N434,2))</f>
        <v>1</v>
      </c>
      <c r="P434" s="31" t="n">
        <f aca="false">SUM(O$5:O434)</f>
        <v>308</v>
      </c>
      <c r="Q434" s="30" t="n">
        <f aca="false">Q433+1</f>
        <v>46715</v>
      </c>
      <c r="R434" s="31" t="n">
        <f aca="false">INDEX($B$27:$H$27,WEEKDAY(Q434,2))</f>
        <v>1</v>
      </c>
      <c r="S434" s="31" t="n">
        <f aca="false">SUM(R$5:R434)</f>
        <v>308</v>
      </c>
    </row>
    <row r="435" customFormat="false" ht="15" hidden="false" customHeight="false" outlineLevel="0" collapsed="false">
      <c r="K435" s="30" t="n">
        <f aca="false">K434+1</f>
        <v>46716</v>
      </c>
      <c r="L435" s="31" t="n">
        <f aca="false">INDEX($B$7:$H$7,WEEKDAY(K435,2))</f>
        <v>1</v>
      </c>
      <c r="M435" s="31" t="n">
        <f aca="false">SUM(L$5:L435)</f>
        <v>309</v>
      </c>
      <c r="N435" s="30" t="n">
        <f aca="false">N434+1</f>
        <v>46716</v>
      </c>
      <c r="O435" s="31" t="n">
        <f aca="false">INDEX($B$17:$H$17,WEEKDAY(N435,2))</f>
        <v>1</v>
      </c>
      <c r="P435" s="31" t="n">
        <f aca="false">SUM(O$5:O435)</f>
        <v>309</v>
      </c>
      <c r="Q435" s="30" t="n">
        <f aca="false">Q434+1</f>
        <v>46716</v>
      </c>
      <c r="R435" s="31" t="n">
        <f aca="false">INDEX($B$27:$H$27,WEEKDAY(Q435,2))</f>
        <v>1</v>
      </c>
      <c r="S435" s="31" t="n">
        <f aca="false">SUM(R$5:R435)</f>
        <v>309</v>
      </c>
    </row>
    <row r="436" customFormat="false" ht="15" hidden="false" customHeight="false" outlineLevel="0" collapsed="false">
      <c r="K436" s="30" t="n">
        <f aca="false">K435+1</f>
        <v>46717</v>
      </c>
      <c r="L436" s="31" t="n">
        <f aca="false">INDEX($B$7:$H$7,WEEKDAY(K436,2))</f>
        <v>1</v>
      </c>
      <c r="M436" s="31" t="n">
        <f aca="false">SUM(L$5:L436)</f>
        <v>310</v>
      </c>
      <c r="N436" s="30" t="n">
        <f aca="false">N435+1</f>
        <v>46717</v>
      </c>
      <c r="O436" s="31" t="n">
        <f aca="false">INDEX($B$17:$H$17,WEEKDAY(N436,2))</f>
        <v>1</v>
      </c>
      <c r="P436" s="31" t="n">
        <f aca="false">SUM(O$5:O436)</f>
        <v>310</v>
      </c>
      <c r="Q436" s="30" t="n">
        <f aca="false">Q435+1</f>
        <v>46717</v>
      </c>
      <c r="R436" s="31" t="n">
        <f aca="false">INDEX($B$27:$H$27,WEEKDAY(Q436,2))</f>
        <v>1</v>
      </c>
      <c r="S436" s="31" t="n">
        <f aca="false">SUM(R$5:R436)</f>
        <v>310</v>
      </c>
    </row>
    <row r="437" customFormat="false" ht="15" hidden="false" customHeight="false" outlineLevel="0" collapsed="false">
      <c r="K437" s="30" t="n">
        <f aca="false">K436+1</f>
        <v>46718</v>
      </c>
      <c r="L437" s="31" t="n">
        <f aca="false">INDEX($B$7:$H$7,WEEKDAY(K437,2))</f>
        <v>0</v>
      </c>
      <c r="M437" s="31" t="n">
        <f aca="false">SUM(L$5:L437)</f>
        <v>310</v>
      </c>
      <c r="N437" s="30" t="n">
        <f aca="false">N436+1</f>
        <v>46718</v>
      </c>
      <c r="O437" s="31" t="n">
        <f aca="false">INDEX($B$17:$H$17,WEEKDAY(N437,2))</f>
        <v>0</v>
      </c>
      <c r="P437" s="31" t="n">
        <f aca="false">SUM(O$5:O437)</f>
        <v>310</v>
      </c>
      <c r="Q437" s="30" t="n">
        <f aca="false">Q436+1</f>
        <v>46718</v>
      </c>
      <c r="R437" s="31" t="n">
        <f aca="false">INDEX($B$27:$H$27,WEEKDAY(Q437,2))</f>
        <v>0</v>
      </c>
      <c r="S437" s="31" t="n">
        <f aca="false">SUM(R$5:R437)</f>
        <v>310</v>
      </c>
    </row>
    <row r="438" customFormat="false" ht="15" hidden="false" customHeight="false" outlineLevel="0" collapsed="false">
      <c r="K438" s="30" t="n">
        <f aca="false">K437+1</f>
        <v>46719</v>
      </c>
      <c r="L438" s="31" t="n">
        <f aca="false">INDEX($B$7:$H$7,WEEKDAY(K438,2))</f>
        <v>0</v>
      </c>
      <c r="M438" s="31" t="n">
        <f aca="false">SUM(L$5:L438)</f>
        <v>310</v>
      </c>
      <c r="N438" s="30" t="n">
        <f aca="false">N437+1</f>
        <v>46719</v>
      </c>
      <c r="O438" s="31" t="n">
        <f aca="false">INDEX($B$17:$H$17,WEEKDAY(N438,2))</f>
        <v>0</v>
      </c>
      <c r="P438" s="31" t="n">
        <f aca="false">SUM(O$5:O438)</f>
        <v>310</v>
      </c>
      <c r="Q438" s="30" t="n">
        <f aca="false">Q437+1</f>
        <v>46719</v>
      </c>
      <c r="R438" s="31" t="n">
        <f aca="false">INDEX($B$27:$H$27,WEEKDAY(Q438,2))</f>
        <v>0</v>
      </c>
      <c r="S438" s="31" t="n">
        <f aca="false">SUM(R$5:R438)</f>
        <v>310</v>
      </c>
    </row>
    <row r="439" customFormat="false" ht="15" hidden="false" customHeight="false" outlineLevel="0" collapsed="false">
      <c r="K439" s="30" t="n">
        <f aca="false">K438+1</f>
        <v>46720</v>
      </c>
      <c r="L439" s="31" t="n">
        <f aca="false">INDEX($B$7:$H$7,WEEKDAY(K439,2))</f>
        <v>1</v>
      </c>
      <c r="M439" s="31" t="n">
        <f aca="false">SUM(L$5:L439)</f>
        <v>311</v>
      </c>
      <c r="N439" s="30" t="n">
        <f aca="false">N438+1</f>
        <v>46720</v>
      </c>
      <c r="O439" s="31" t="n">
        <f aca="false">INDEX($B$17:$H$17,WEEKDAY(N439,2))</f>
        <v>1</v>
      </c>
      <c r="P439" s="31" t="n">
        <f aca="false">SUM(O$5:O439)</f>
        <v>311</v>
      </c>
      <c r="Q439" s="30" t="n">
        <f aca="false">Q438+1</f>
        <v>46720</v>
      </c>
      <c r="R439" s="31" t="n">
        <f aca="false">INDEX($B$27:$H$27,WEEKDAY(Q439,2))</f>
        <v>1</v>
      </c>
      <c r="S439" s="31" t="n">
        <f aca="false">SUM(R$5:R439)</f>
        <v>311</v>
      </c>
    </row>
    <row r="440" customFormat="false" ht="15" hidden="false" customHeight="false" outlineLevel="0" collapsed="false">
      <c r="K440" s="30" t="n">
        <f aca="false">K439+1</f>
        <v>46721</v>
      </c>
      <c r="L440" s="31" t="n">
        <f aca="false">INDEX($B$7:$H$7,WEEKDAY(K440,2))</f>
        <v>1</v>
      </c>
      <c r="M440" s="31" t="n">
        <f aca="false">SUM(L$5:L440)</f>
        <v>312</v>
      </c>
      <c r="N440" s="30" t="n">
        <f aca="false">N439+1</f>
        <v>46721</v>
      </c>
      <c r="O440" s="31" t="n">
        <f aca="false">INDEX($B$17:$H$17,WEEKDAY(N440,2))</f>
        <v>1</v>
      </c>
      <c r="P440" s="31" t="n">
        <f aca="false">SUM(O$5:O440)</f>
        <v>312</v>
      </c>
      <c r="Q440" s="30" t="n">
        <f aca="false">Q439+1</f>
        <v>46721</v>
      </c>
      <c r="R440" s="31" t="n">
        <f aca="false">INDEX($B$27:$H$27,WEEKDAY(Q440,2))</f>
        <v>1</v>
      </c>
      <c r="S440" s="31" t="n">
        <f aca="false">SUM(R$5:R440)</f>
        <v>312</v>
      </c>
    </row>
    <row r="441" customFormat="false" ht="15" hidden="false" customHeight="false" outlineLevel="0" collapsed="false">
      <c r="K441" s="30" t="n">
        <f aca="false">K440+1</f>
        <v>46722</v>
      </c>
      <c r="L441" s="31" t="n">
        <f aca="false">INDEX($B$7:$H$7,WEEKDAY(K441,2))</f>
        <v>1</v>
      </c>
      <c r="M441" s="31" t="n">
        <f aca="false">SUM(L$5:L441)</f>
        <v>313</v>
      </c>
      <c r="N441" s="30" t="n">
        <f aca="false">N440+1</f>
        <v>46722</v>
      </c>
      <c r="O441" s="31" t="n">
        <f aca="false">INDEX($B$17:$H$17,WEEKDAY(N441,2))</f>
        <v>1</v>
      </c>
      <c r="P441" s="31" t="n">
        <f aca="false">SUM(O$5:O441)</f>
        <v>313</v>
      </c>
      <c r="Q441" s="30" t="n">
        <f aca="false">Q440+1</f>
        <v>46722</v>
      </c>
      <c r="R441" s="31" t="n">
        <f aca="false">INDEX($B$27:$H$27,WEEKDAY(Q441,2))</f>
        <v>1</v>
      </c>
      <c r="S441" s="31" t="n">
        <f aca="false">SUM(R$5:R441)</f>
        <v>313</v>
      </c>
    </row>
    <row r="442" customFormat="false" ht="15" hidden="false" customHeight="false" outlineLevel="0" collapsed="false">
      <c r="K442" s="30" t="n">
        <f aca="false">K441+1</f>
        <v>46723</v>
      </c>
      <c r="L442" s="31" t="n">
        <f aca="false">INDEX($B$7:$H$7,WEEKDAY(K442,2))</f>
        <v>1</v>
      </c>
      <c r="M442" s="31" t="n">
        <f aca="false">SUM(L$5:L442)</f>
        <v>314</v>
      </c>
      <c r="N442" s="30" t="n">
        <f aca="false">N441+1</f>
        <v>46723</v>
      </c>
      <c r="O442" s="31" t="n">
        <f aca="false">INDEX($B$17:$H$17,WEEKDAY(N442,2))</f>
        <v>1</v>
      </c>
      <c r="P442" s="31" t="n">
        <f aca="false">SUM(O$5:O442)</f>
        <v>314</v>
      </c>
      <c r="Q442" s="30" t="n">
        <f aca="false">Q441+1</f>
        <v>46723</v>
      </c>
      <c r="R442" s="31" t="n">
        <f aca="false">INDEX($B$27:$H$27,WEEKDAY(Q442,2))</f>
        <v>1</v>
      </c>
      <c r="S442" s="31" t="n">
        <f aca="false">SUM(R$5:R442)</f>
        <v>314</v>
      </c>
    </row>
    <row r="443" customFormat="false" ht="15" hidden="false" customHeight="false" outlineLevel="0" collapsed="false">
      <c r="K443" s="30" t="n">
        <f aca="false">K442+1</f>
        <v>46724</v>
      </c>
      <c r="L443" s="31" t="n">
        <f aca="false">INDEX($B$7:$H$7,WEEKDAY(K443,2))</f>
        <v>1</v>
      </c>
      <c r="M443" s="31" t="n">
        <f aca="false">SUM(L$5:L443)</f>
        <v>315</v>
      </c>
      <c r="N443" s="30" t="n">
        <f aca="false">N442+1</f>
        <v>46724</v>
      </c>
      <c r="O443" s="31" t="n">
        <f aca="false">INDEX($B$17:$H$17,WEEKDAY(N443,2))</f>
        <v>1</v>
      </c>
      <c r="P443" s="31" t="n">
        <f aca="false">SUM(O$5:O443)</f>
        <v>315</v>
      </c>
      <c r="Q443" s="30" t="n">
        <f aca="false">Q442+1</f>
        <v>46724</v>
      </c>
      <c r="R443" s="31" t="n">
        <f aca="false">INDEX($B$27:$H$27,WEEKDAY(Q443,2))</f>
        <v>1</v>
      </c>
      <c r="S443" s="31" t="n">
        <f aca="false">SUM(R$5:R443)</f>
        <v>315</v>
      </c>
    </row>
    <row r="444" customFormat="false" ht="15" hidden="false" customHeight="false" outlineLevel="0" collapsed="false">
      <c r="K444" s="30" t="n">
        <f aca="false">K443+1</f>
        <v>46725</v>
      </c>
      <c r="L444" s="31" t="n">
        <f aca="false">INDEX($B$7:$H$7,WEEKDAY(K444,2))</f>
        <v>0</v>
      </c>
      <c r="M444" s="31" t="n">
        <f aca="false">SUM(L$5:L444)</f>
        <v>315</v>
      </c>
      <c r="N444" s="30" t="n">
        <f aca="false">N443+1</f>
        <v>46725</v>
      </c>
      <c r="O444" s="31" t="n">
        <f aca="false">INDEX($B$17:$H$17,WEEKDAY(N444,2))</f>
        <v>0</v>
      </c>
      <c r="P444" s="31" t="n">
        <f aca="false">SUM(O$5:O444)</f>
        <v>315</v>
      </c>
      <c r="Q444" s="30" t="n">
        <f aca="false">Q443+1</f>
        <v>46725</v>
      </c>
      <c r="R444" s="31" t="n">
        <f aca="false">INDEX($B$27:$H$27,WEEKDAY(Q444,2))</f>
        <v>0</v>
      </c>
      <c r="S444" s="31" t="n">
        <f aca="false">SUM(R$5:R444)</f>
        <v>315</v>
      </c>
    </row>
    <row r="445" customFormat="false" ht="15" hidden="false" customHeight="false" outlineLevel="0" collapsed="false">
      <c r="K445" s="30" t="n">
        <f aca="false">K444+1</f>
        <v>46726</v>
      </c>
      <c r="L445" s="31" t="n">
        <f aca="false">INDEX($B$7:$H$7,WEEKDAY(K445,2))</f>
        <v>0</v>
      </c>
      <c r="M445" s="31" t="n">
        <f aca="false">SUM(L$5:L445)</f>
        <v>315</v>
      </c>
      <c r="N445" s="30" t="n">
        <f aca="false">N444+1</f>
        <v>46726</v>
      </c>
      <c r="O445" s="31" t="n">
        <f aca="false">INDEX($B$17:$H$17,WEEKDAY(N445,2))</f>
        <v>0</v>
      </c>
      <c r="P445" s="31" t="n">
        <f aca="false">SUM(O$5:O445)</f>
        <v>315</v>
      </c>
      <c r="Q445" s="30" t="n">
        <f aca="false">Q444+1</f>
        <v>46726</v>
      </c>
      <c r="R445" s="31" t="n">
        <f aca="false">INDEX($B$27:$H$27,WEEKDAY(Q445,2))</f>
        <v>0</v>
      </c>
      <c r="S445" s="31" t="n">
        <f aca="false">SUM(R$5:R445)</f>
        <v>315</v>
      </c>
    </row>
    <row r="446" customFormat="false" ht="15" hidden="false" customHeight="false" outlineLevel="0" collapsed="false">
      <c r="K446" s="30" t="n">
        <f aca="false">K445+1</f>
        <v>46727</v>
      </c>
      <c r="L446" s="31" t="n">
        <f aca="false">INDEX($B$7:$H$7,WEEKDAY(K446,2))</f>
        <v>1</v>
      </c>
      <c r="M446" s="31" t="n">
        <f aca="false">SUM(L$5:L446)</f>
        <v>316</v>
      </c>
      <c r="N446" s="30" t="n">
        <f aca="false">N445+1</f>
        <v>46727</v>
      </c>
      <c r="O446" s="31" t="n">
        <f aca="false">INDEX($B$17:$H$17,WEEKDAY(N446,2))</f>
        <v>1</v>
      </c>
      <c r="P446" s="31" t="n">
        <f aca="false">SUM(O$5:O446)</f>
        <v>316</v>
      </c>
      <c r="Q446" s="30" t="n">
        <f aca="false">Q445+1</f>
        <v>46727</v>
      </c>
      <c r="R446" s="31" t="n">
        <f aca="false">INDEX($B$27:$H$27,WEEKDAY(Q446,2))</f>
        <v>1</v>
      </c>
      <c r="S446" s="31" t="n">
        <f aca="false">SUM(R$5:R446)</f>
        <v>316</v>
      </c>
    </row>
    <row r="447" customFormat="false" ht="15" hidden="false" customHeight="false" outlineLevel="0" collapsed="false">
      <c r="K447" s="30" t="n">
        <f aca="false">K446+1</f>
        <v>46728</v>
      </c>
      <c r="L447" s="31" t="n">
        <f aca="false">INDEX($B$7:$H$7,WEEKDAY(K447,2))</f>
        <v>1</v>
      </c>
      <c r="M447" s="31" t="n">
        <f aca="false">SUM(L$5:L447)</f>
        <v>317</v>
      </c>
      <c r="N447" s="30" t="n">
        <f aca="false">N446+1</f>
        <v>46728</v>
      </c>
      <c r="O447" s="31" t="n">
        <f aca="false">INDEX($B$17:$H$17,WEEKDAY(N447,2))</f>
        <v>1</v>
      </c>
      <c r="P447" s="31" t="n">
        <f aca="false">SUM(O$5:O447)</f>
        <v>317</v>
      </c>
      <c r="Q447" s="30" t="n">
        <f aca="false">Q446+1</f>
        <v>46728</v>
      </c>
      <c r="R447" s="31" t="n">
        <f aca="false">INDEX($B$27:$H$27,WEEKDAY(Q447,2))</f>
        <v>1</v>
      </c>
      <c r="S447" s="31" t="n">
        <f aca="false">SUM(R$5:R447)</f>
        <v>317</v>
      </c>
    </row>
    <row r="448" customFormat="false" ht="15" hidden="false" customHeight="false" outlineLevel="0" collapsed="false">
      <c r="K448" s="30" t="n">
        <f aca="false">K447+1</f>
        <v>46729</v>
      </c>
      <c r="L448" s="31" t="n">
        <f aca="false">INDEX($B$7:$H$7,WEEKDAY(K448,2))</f>
        <v>1</v>
      </c>
      <c r="M448" s="31" t="n">
        <f aca="false">SUM(L$5:L448)</f>
        <v>318</v>
      </c>
      <c r="N448" s="30" t="n">
        <f aca="false">N447+1</f>
        <v>46729</v>
      </c>
      <c r="O448" s="31" t="n">
        <f aca="false">INDEX($B$17:$H$17,WEEKDAY(N448,2))</f>
        <v>1</v>
      </c>
      <c r="P448" s="31" t="n">
        <f aca="false">SUM(O$5:O448)</f>
        <v>318</v>
      </c>
      <c r="Q448" s="30" t="n">
        <f aca="false">Q447+1</f>
        <v>46729</v>
      </c>
      <c r="R448" s="31" t="n">
        <f aca="false">INDEX($B$27:$H$27,WEEKDAY(Q448,2))</f>
        <v>1</v>
      </c>
      <c r="S448" s="31" t="n">
        <f aca="false">SUM(R$5:R448)</f>
        <v>318</v>
      </c>
    </row>
    <row r="449" customFormat="false" ht="15" hidden="false" customHeight="false" outlineLevel="0" collapsed="false">
      <c r="K449" s="30" t="n">
        <f aca="false">K448+1</f>
        <v>46730</v>
      </c>
      <c r="L449" s="31" t="n">
        <f aca="false">INDEX($B$7:$H$7,WEEKDAY(K449,2))</f>
        <v>1</v>
      </c>
      <c r="M449" s="31" t="n">
        <f aca="false">SUM(L$5:L449)</f>
        <v>319</v>
      </c>
      <c r="N449" s="30" t="n">
        <f aca="false">N448+1</f>
        <v>46730</v>
      </c>
      <c r="O449" s="31" t="n">
        <f aca="false">INDEX($B$17:$H$17,WEEKDAY(N449,2))</f>
        <v>1</v>
      </c>
      <c r="P449" s="31" t="n">
        <f aca="false">SUM(O$5:O449)</f>
        <v>319</v>
      </c>
      <c r="Q449" s="30" t="n">
        <f aca="false">Q448+1</f>
        <v>46730</v>
      </c>
      <c r="R449" s="31" t="n">
        <f aca="false">INDEX($B$27:$H$27,WEEKDAY(Q449,2))</f>
        <v>1</v>
      </c>
      <c r="S449" s="31" t="n">
        <f aca="false">SUM(R$5:R449)</f>
        <v>319</v>
      </c>
    </row>
    <row r="450" customFormat="false" ht="15" hidden="false" customHeight="false" outlineLevel="0" collapsed="false">
      <c r="K450" s="30" t="n">
        <f aca="false">K449+1</f>
        <v>46731</v>
      </c>
      <c r="L450" s="31" t="n">
        <f aca="false">INDEX($B$7:$H$7,WEEKDAY(K450,2))</f>
        <v>1</v>
      </c>
      <c r="M450" s="31" t="n">
        <f aca="false">SUM(L$5:L450)</f>
        <v>320</v>
      </c>
      <c r="N450" s="30" t="n">
        <f aca="false">N449+1</f>
        <v>46731</v>
      </c>
      <c r="O450" s="31" t="n">
        <f aca="false">INDEX($B$17:$H$17,WEEKDAY(N450,2))</f>
        <v>1</v>
      </c>
      <c r="P450" s="31" t="n">
        <f aca="false">SUM(O$5:O450)</f>
        <v>320</v>
      </c>
      <c r="Q450" s="30" t="n">
        <f aca="false">Q449+1</f>
        <v>46731</v>
      </c>
      <c r="R450" s="31" t="n">
        <f aca="false">INDEX($B$27:$H$27,WEEKDAY(Q450,2))</f>
        <v>1</v>
      </c>
      <c r="S450" s="31" t="n">
        <f aca="false">SUM(R$5:R450)</f>
        <v>320</v>
      </c>
    </row>
    <row r="451" customFormat="false" ht="15" hidden="false" customHeight="false" outlineLevel="0" collapsed="false">
      <c r="K451" s="30" t="n">
        <f aca="false">K450+1</f>
        <v>46732</v>
      </c>
      <c r="L451" s="31" t="n">
        <f aca="false">INDEX($B$7:$H$7,WEEKDAY(K451,2))</f>
        <v>0</v>
      </c>
      <c r="M451" s="31" t="n">
        <f aca="false">SUM(L$5:L451)</f>
        <v>320</v>
      </c>
      <c r="N451" s="30" t="n">
        <f aca="false">N450+1</f>
        <v>46732</v>
      </c>
      <c r="O451" s="31" t="n">
        <f aca="false">INDEX($B$17:$H$17,WEEKDAY(N451,2))</f>
        <v>0</v>
      </c>
      <c r="P451" s="31" t="n">
        <f aca="false">SUM(O$5:O451)</f>
        <v>320</v>
      </c>
      <c r="Q451" s="30" t="n">
        <f aca="false">Q450+1</f>
        <v>46732</v>
      </c>
      <c r="R451" s="31" t="n">
        <f aca="false">INDEX($B$27:$H$27,WEEKDAY(Q451,2))</f>
        <v>0</v>
      </c>
      <c r="S451" s="31" t="n">
        <f aca="false">SUM(R$5:R451)</f>
        <v>320</v>
      </c>
    </row>
    <row r="452" customFormat="false" ht="15" hidden="false" customHeight="false" outlineLevel="0" collapsed="false">
      <c r="K452" s="30" t="n">
        <f aca="false">K451+1</f>
        <v>46733</v>
      </c>
      <c r="L452" s="31" t="n">
        <f aca="false">INDEX($B$7:$H$7,WEEKDAY(K452,2))</f>
        <v>0</v>
      </c>
      <c r="M452" s="31" t="n">
        <f aca="false">SUM(L$5:L452)</f>
        <v>320</v>
      </c>
      <c r="N452" s="30" t="n">
        <f aca="false">N451+1</f>
        <v>46733</v>
      </c>
      <c r="O452" s="31" t="n">
        <f aca="false">INDEX($B$17:$H$17,WEEKDAY(N452,2))</f>
        <v>0</v>
      </c>
      <c r="P452" s="31" t="n">
        <f aca="false">SUM(O$5:O452)</f>
        <v>320</v>
      </c>
      <c r="Q452" s="30" t="n">
        <f aca="false">Q451+1</f>
        <v>46733</v>
      </c>
      <c r="R452" s="31" t="n">
        <f aca="false">INDEX($B$27:$H$27,WEEKDAY(Q452,2))</f>
        <v>0</v>
      </c>
      <c r="S452" s="31" t="n">
        <f aca="false">SUM(R$5:R452)</f>
        <v>320</v>
      </c>
    </row>
    <row r="453" customFormat="false" ht="15" hidden="false" customHeight="false" outlineLevel="0" collapsed="false">
      <c r="K453" s="30" t="n">
        <f aca="false">K452+1</f>
        <v>46734</v>
      </c>
      <c r="L453" s="31" t="n">
        <f aca="false">INDEX($B$7:$H$7,WEEKDAY(K453,2))</f>
        <v>1</v>
      </c>
      <c r="M453" s="31" t="n">
        <f aca="false">SUM(L$5:L453)</f>
        <v>321</v>
      </c>
      <c r="N453" s="30" t="n">
        <f aca="false">N452+1</f>
        <v>46734</v>
      </c>
      <c r="O453" s="31" t="n">
        <f aca="false">INDEX($B$17:$H$17,WEEKDAY(N453,2))</f>
        <v>1</v>
      </c>
      <c r="P453" s="31" t="n">
        <f aca="false">SUM(O$5:O453)</f>
        <v>321</v>
      </c>
      <c r="Q453" s="30" t="n">
        <f aca="false">Q452+1</f>
        <v>46734</v>
      </c>
      <c r="R453" s="31" t="n">
        <f aca="false">INDEX($B$27:$H$27,WEEKDAY(Q453,2))</f>
        <v>1</v>
      </c>
      <c r="S453" s="31" t="n">
        <f aca="false">SUM(R$5:R453)</f>
        <v>321</v>
      </c>
    </row>
    <row r="454" customFormat="false" ht="15" hidden="false" customHeight="false" outlineLevel="0" collapsed="false">
      <c r="K454" s="30" t="n">
        <f aca="false">K453+1</f>
        <v>46735</v>
      </c>
      <c r="L454" s="31" t="n">
        <f aca="false">INDEX($B$7:$H$7,WEEKDAY(K454,2))</f>
        <v>1</v>
      </c>
      <c r="M454" s="31" t="n">
        <f aca="false">SUM(L$5:L454)</f>
        <v>322</v>
      </c>
      <c r="N454" s="30" t="n">
        <f aca="false">N453+1</f>
        <v>46735</v>
      </c>
      <c r="O454" s="31" t="n">
        <f aca="false">INDEX($B$17:$H$17,WEEKDAY(N454,2))</f>
        <v>1</v>
      </c>
      <c r="P454" s="31" t="n">
        <f aca="false">SUM(O$5:O454)</f>
        <v>322</v>
      </c>
      <c r="Q454" s="30" t="n">
        <f aca="false">Q453+1</f>
        <v>46735</v>
      </c>
      <c r="R454" s="31" t="n">
        <f aca="false">INDEX($B$27:$H$27,WEEKDAY(Q454,2))</f>
        <v>1</v>
      </c>
      <c r="S454" s="31" t="n">
        <f aca="false">SUM(R$5:R454)</f>
        <v>322</v>
      </c>
    </row>
    <row r="455" customFormat="false" ht="15" hidden="false" customHeight="false" outlineLevel="0" collapsed="false">
      <c r="K455" s="30" t="n">
        <f aca="false">K454+1</f>
        <v>46736</v>
      </c>
      <c r="L455" s="31" t="n">
        <f aca="false">INDEX($B$7:$H$7,WEEKDAY(K455,2))</f>
        <v>1</v>
      </c>
      <c r="M455" s="31" t="n">
        <f aca="false">SUM(L$5:L455)</f>
        <v>323</v>
      </c>
      <c r="N455" s="30" t="n">
        <f aca="false">N454+1</f>
        <v>46736</v>
      </c>
      <c r="O455" s="31" t="n">
        <f aca="false">INDEX($B$17:$H$17,WEEKDAY(N455,2))</f>
        <v>1</v>
      </c>
      <c r="P455" s="31" t="n">
        <f aca="false">SUM(O$5:O455)</f>
        <v>323</v>
      </c>
      <c r="Q455" s="30" t="n">
        <f aca="false">Q454+1</f>
        <v>46736</v>
      </c>
      <c r="R455" s="31" t="n">
        <f aca="false">INDEX($B$27:$H$27,WEEKDAY(Q455,2))</f>
        <v>1</v>
      </c>
      <c r="S455" s="31" t="n">
        <f aca="false">SUM(R$5:R455)</f>
        <v>323</v>
      </c>
    </row>
    <row r="456" customFormat="false" ht="15" hidden="false" customHeight="false" outlineLevel="0" collapsed="false">
      <c r="K456" s="30" t="n">
        <f aca="false">K455+1</f>
        <v>46737</v>
      </c>
      <c r="L456" s="31" t="n">
        <f aca="false">INDEX($B$7:$H$7,WEEKDAY(K456,2))</f>
        <v>1</v>
      </c>
      <c r="M456" s="31" t="n">
        <f aca="false">SUM(L$5:L456)</f>
        <v>324</v>
      </c>
      <c r="N456" s="30" t="n">
        <f aca="false">N455+1</f>
        <v>46737</v>
      </c>
      <c r="O456" s="31" t="n">
        <f aca="false">INDEX($B$17:$H$17,WEEKDAY(N456,2))</f>
        <v>1</v>
      </c>
      <c r="P456" s="31" t="n">
        <f aca="false">SUM(O$5:O456)</f>
        <v>324</v>
      </c>
      <c r="Q456" s="30" t="n">
        <f aca="false">Q455+1</f>
        <v>46737</v>
      </c>
      <c r="R456" s="31" t="n">
        <f aca="false">INDEX($B$27:$H$27,WEEKDAY(Q456,2))</f>
        <v>1</v>
      </c>
      <c r="S456" s="31" t="n">
        <f aca="false">SUM(R$5:R456)</f>
        <v>324</v>
      </c>
    </row>
    <row r="457" customFormat="false" ht="15" hidden="false" customHeight="false" outlineLevel="0" collapsed="false">
      <c r="K457" s="30" t="n">
        <f aca="false">K456+1</f>
        <v>46738</v>
      </c>
      <c r="L457" s="31" t="n">
        <f aca="false">INDEX($B$7:$H$7,WEEKDAY(K457,2))</f>
        <v>1</v>
      </c>
      <c r="M457" s="31" t="n">
        <f aca="false">SUM(L$5:L457)</f>
        <v>325</v>
      </c>
      <c r="N457" s="30" t="n">
        <f aca="false">N456+1</f>
        <v>46738</v>
      </c>
      <c r="O457" s="31" t="n">
        <f aca="false">INDEX($B$17:$H$17,WEEKDAY(N457,2))</f>
        <v>1</v>
      </c>
      <c r="P457" s="31" t="n">
        <f aca="false">SUM(O$5:O457)</f>
        <v>325</v>
      </c>
      <c r="Q457" s="30" t="n">
        <f aca="false">Q456+1</f>
        <v>46738</v>
      </c>
      <c r="R457" s="31" t="n">
        <f aca="false">INDEX($B$27:$H$27,WEEKDAY(Q457,2))</f>
        <v>1</v>
      </c>
      <c r="S457" s="31" t="n">
        <f aca="false">SUM(R$5:R457)</f>
        <v>325</v>
      </c>
    </row>
    <row r="458" customFormat="false" ht="15" hidden="false" customHeight="false" outlineLevel="0" collapsed="false">
      <c r="K458" s="30" t="n">
        <f aca="false">K457+1</f>
        <v>46739</v>
      </c>
      <c r="L458" s="31" t="n">
        <f aca="false">INDEX($B$7:$H$7,WEEKDAY(K458,2))</f>
        <v>0</v>
      </c>
      <c r="M458" s="31" t="n">
        <f aca="false">SUM(L$5:L458)</f>
        <v>325</v>
      </c>
      <c r="N458" s="30" t="n">
        <f aca="false">N457+1</f>
        <v>46739</v>
      </c>
      <c r="O458" s="31" t="n">
        <f aca="false">INDEX($B$17:$H$17,WEEKDAY(N458,2))</f>
        <v>0</v>
      </c>
      <c r="P458" s="31" t="n">
        <f aca="false">SUM(O$5:O458)</f>
        <v>325</v>
      </c>
      <c r="Q458" s="30" t="n">
        <f aca="false">Q457+1</f>
        <v>46739</v>
      </c>
      <c r="R458" s="31" t="n">
        <f aca="false">INDEX($B$27:$H$27,WEEKDAY(Q458,2))</f>
        <v>0</v>
      </c>
      <c r="S458" s="31" t="n">
        <f aca="false">SUM(R$5:R458)</f>
        <v>325</v>
      </c>
    </row>
    <row r="459" customFormat="false" ht="15" hidden="false" customHeight="false" outlineLevel="0" collapsed="false">
      <c r="K459" s="30" t="n">
        <f aca="false">K458+1</f>
        <v>46740</v>
      </c>
      <c r="L459" s="31" t="n">
        <f aca="false">INDEX($B$7:$H$7,WEEKDAY(K459,2))</f>
        <v>0</v>
      </c>
      <c r="M459" s="31" t="n">
        <f aca="false">SUM(L$5:L459)</f>
        <v>325</v>
      </c>
      <c r="N459" s="30" t="n">
        <f aca="false">N458+1</f>
        <v>46740</v>
      </c>
      <c r="O459" s="31" t="n">
        <f aca="false">INDEX($B$17:$H$17,WEEKDAY(N459,2))</f>
        <v>0</v>
      </c>
      <c r="P459" s="31" t="n">
        <f aca="false">SUM(O$5:O459)</f>
        <v>325</v>
      </c>
      <c r="Q459" s="30" t="n">
        <f aca="false">Q458+1</f>
        <v>46740</v>
      </c>
      <c r="R459" s="31" t="n">
        <f aca="false">INDEX($B$27:$H$27,WEEKDAY(Q459,2))</f>
        <v>0</v>
      </c>
      <c r="S459" s="31" t="n">
        <f aca="false">SUM(R$5:R459)</f>
        <v>325</v>
      </c>
    </row>
    <row r="460" customFormat="false" ht="15" hidden="false" customHeight="false" outlineLevel="0" collapsed="false">
      <c r="K460" s="30" t="n">
        <f aca="false">K459+1</f>
        <v>46741</v>
      </c>
      <c r="L460" s="31" t="n">
        <f aca="false">INDEX($B$7:$H$7,WEEKDAY(K460,2))</f>
        <v>1</v>
      </c>
      <c r="M460" s="31" t="n">
        <f aca="false">SUM(L$5:L460)</f>
        <v>326</v>
      </c>
      <c r="N460" s="30" t="n">
        <f aca="false">N459+1</f>
        <v>46741</v>
      </c>
      <c r="O460" s="31" t="n">
        <f aca="false">INDEX($B$17:$H$17,WEEKDAY(N460,2))</f>
        <v>1</v>
      </c>
      <c r="P460" s="31" t="n">
        <f aca="false">SUM(O$5:O460)</f>
        <v>326</v>
      </c>
      <c r="Q460" s="30" t="n">
        <f aca="false">Q459+1</f>
        <v>46741</v>
      </c>
      <c r="R460" s="31" t="n">
        <f aca="false">INDEX($B$27:$H$27,WEEKDAY(Q460,2))</f>
        <v>1</v>
      </c>
      <c r="S460" s="31" t="n">
        <f aca="false">SUM(R$5:R460)</f>
        <v>326</v>
      </c>
    </row>
    <row r="461" customFormat="false" ht="15" hidden="false" customHeight="false" outlineLevel="0" collapsed="false">
      <c r="K461" s="30" t="n">
        <f aca="false">K460+1</f>
        <v>46742</v>
      </c>
      <c r="L461" s="31" t="n">
        <f aca="false">INDEX($B$7:$H$7,WEEKDAY(K461,2))</f>
        <v>1</v>
      </c>
      <c r="M461" s="31" t="n">
        <f aca="false">SUM(L$5:L461)</f>
        <v>327</v>
      </c>
      <c r="N461" s="30" t="n">
        <f aca="false">N460+1</f>
        <v>46742</v>
      </c>
      <c r="O461" s="31" t="n">
        <f aca="false">INDEX($B$17:$H$17,WEEKDAY(N461,2))</f>
        <v>1</v>
      </c>
      <c r="P461" s="31" t="n">
        <f aca="false">SUM(O$5:O461)</f>
        <v>327</v>
      </c>
      <c r="Q461" s="30" t="n">
        <f aca="false">Q460+1</f>
        <v>46742</v>
      </c>
      <c r="R461" s="31" t="n">
        <f aca="false">INDEX($B$27:$H$27,WEEKDAY(Q461,2))</f>
        <v>1</v>
      </c>
      <c r="S461" s="31" t="n">
        <f aca="false">SUM(R$5:R461)</f>
        <v>327</v>
      </c>
    </row>
    <row r="462" customFormat="false" ht="15" hidden="false" customHeight="false" outlineLevel="0" collapsed="false">
      <c r="K462" s="30" t="n">
        <f aca="false">K461+1</f>
        <v>46743</v>
      </c>
      <c r="L462" s="31" t="n">
        <f aca="false">INDEX($B$7:$H$7,WEEKDAY(K462,2))</f>
        <v>1</v>
      </c>
      <c r="M462" s="31" t="n">
        <f aca="false">SUM(L$5:L462)</f>
        <v>328</v>
      </c>
      <c r="N462" s="30" t="n">
        <f aca="false">N461+1</f>
        <v>46743</v>
      </c>
      <c r="O462" s="31" t="n">
        <f aca="false">INDEX($B$17:$H$17,WEEKDAY(N462,2))</f>
        <v>1</v>
      </c>
      <c r="P462" s="31" t="n">
        <f aca="false">SUM(O$5:O462)</f>
        <v>328</v>
      </c>
      <c r="Q462" s="30" t="n">
        <f aca="false">Q461+1</f>
        <v>46743</v>
      </c>
      <c r="R462" s="31" t="n">
        <f aca="false">INDEX($B$27:$H$27,WEEKDAY(Q462,2))</f>
        <v>1</v>
      </c>
      <c r="S462" s="31" t="n">
        <f aca="false">SUM(R$5:R462)</f>
        <v>328</v>
      </c>
    </row>
    <row r="463" customFormat="false" ht="15" hidden="false" customHeight="false" outlineLevel="0" collapsed="false">
      <c r="K463" s="30" t="n">
        <f aca="false">K462+1</f>
        <v>46744</v>
      </c>
      <c r="L463" s="31" t="n">
        <f aca="false">INDEX($B$7:$H$7,WEEKDAY(K463,2))</f>
        <v>1</v>
      </c>
      <c r="M463" s="31" t="n">
        <f aca="false">SUM(L$5:L463)</f>
        <v>329</v>
      </c>
      <c r="N463" s="30" t="n">
        <f aca="false">N462+1</f>
        <v>46744</v>
      </c>
      <c r="O463" s="31" t="n">
        <f aca="false">INDEX($B$17:$H$17,WEEKDAY(N463,2))</f>
        <v>1</v>
      </c>
      <c r="P463" s="31" t="n">
        <f aca="false">SUM(O$5:O463)</f>
        <v>329</v>
      </c>
      <c r="Q463" s="30" t="n">
        <f aca="false">Q462+1</f>
        <v>46744</v>
      </c>
      <c r="R463" s="31" t="n">
        <f aca="false">INDEX($B$27:$H$27,WEEKDAY(Q463,2))</f>
        <v>1</v>
      </c>
      <c r="S463" s="31" t="n">
        <f aca="false">SUM(R$5:R463)</f>
        <v>329</v>
      </c>
    </row>
    <row r="464" customFormat="false" ht="15" hidden="false" customHeight="false" outlineLevel="0" collapsed="false">
      <c r="K464" s="30" t="n">
        <f aca="false">K463+1</f>
        <v>46745</v>
      </c>
      <c r="L464" s="31" t="n">
        <f aca="false">INDEX($B$7:$H$7,WEEKDAY(K464,2))</f>
        <v>1</v>
      </c>
      <c r="M464" s="31" t="n">
        <f aca="false">SUM(L$5:L464)</f>
        <v>330</v>
      </c>
      <c r="N464" s="30" t="n">
        <f aca="false">N463+1</f>
        <v>46745</v>
      </c>
      <c r="O464" s="31" t="n">
        <f aca="false">INDEX($B$17:$H$17,WEEKDAY(N464,2))</f>
        <v>1</v>
      </c>
      <c r="P464" s="31" t="n">
        <f aca="false">SUM(O$5:O464)</f>
        <v>330</v>
      </c>
      <c r="Q464" s="30" t="n">
        <f aca="false">Q463+1</f>
        <v>46745</v>
      </c>
      <c r="R464" s="31" t="n">
        <f aca="false">INDEX($B$27:$H$27,WEEKDAY(Q464,2))</f>
        <v>1</v>
      </c>
      <c r="S464" s="31" t="n">
        <f aca="false">SUM(R$5:R464)</f>
        <v>330</v>
      </c>
    </row>
    <row r="465" customFormat="false" ht="15" hidden="false" customHeight="false" outlineLevel="0" collapsed="false">
      <c r="K465" s="30" t="n">
        <f aca="false">K464+1</f>
        <v>46746</v>
      </c>
      <c r="L465" s="31" t="n">
        <f aca="false">INDEX($B$7:$H$7,WEEKDAY(K465,2))</f>
        <v>0</v>
      </c>
      <c r="M465" s="31" t="n">
        <f aca="false">SUM(L$5:L465)</f>
        <v>330</v>
      </c>
      <c r="N465" s="30" t="n">
        <f aca="false">N464+1</f>
        <v>46746</v>
      </c>
      <c r="O465" s="31" t="n">
        <f aca="false">INDEX($B$17:$H$17,WEEKDAY(N465,2))</f>
        <v>0</v>
      </c>
      <c r="P465" s="31" t="n">
        <f aca="false">SUM(O$5:O465)</f>
        <v>330</v>
      </c>
      <c r="Q465" s="30" t="n">
        <f aca="false">Q464+1</f>
        <v>46746</v>
      </c>
      <c r="R465" s="31" t="n">
        <f aca="false">INDEX($B$27:$H$27,WEEKDAY(Q465,2))</f>
        <v>0</v>
      </c>
      <c r="S465" s="31" t="n">
        <f aca="false">SUM(R$5:R465)</f>
        <v>330</v>
      </c>
    </row>
    <row r="466" customFormat="false" ht="15" hidden="false" customHeight="false" outlineLevel="0" collapsed="false">
      <c r="K466" s="30" t="n">
        <f aca="false">K465+1</f>
        <v>46747</v>
      </c>
      <c r="L466" s="31" t="n">
        <f aca="false">INDEX($B$7:$H$7,WEEKDAY(K466,2))</f>
        <v>0</v>
      </c>
      <c r="M466" s="31" t="n">
        <f aca="false">SUM(L$5:L466)</f>
        <v>330</v>
      </c>
      <c r="N466" s="30" t="n">
        <f aca="false">N465+1</f>
        <v>46747</v>
      </c>
      <c r="O466" s="31" t="n">
        <f aca="false">INDEX($B$17:$H$17,WEEKDAY(N466,2))</f>
        <v>0</v>
      </c>
      <c r="P466" s="31" t="n">
        <f aca="false">SUM(O$5:O466)</f>
        <v>330</v>
      </c>
      <c r="Q466" s="30" t="n">
        <f aca="false">Q465+1</f>
        <v>46747</v>
      </c>
      <c r="R466" s="31" t="n">
        <f aca="false">INDEX($B$27:$H$27,WEEKDAY(Q466,2))</f>
        <v>0</v>
      </c>
      <c r="S466" s="31" t="n">
        <f aca="false">SUM(R$5:R466)</f>
        <v>330</v>
      </c>
    </row>
    <row r="467" customFormat="false" ht="15" hidden="false" customHeight="false" outlineLevel="0" collapsed="false">
      <c r="K467" s="30" t="n">
        <f aca="false">K466+1</f>
        <v>46748</v>
      </c>
      <c r="L467" s="31" t="n">
        <f aca="false">INDEX($B$7:$H$7,WEEKDAY(K467,2))</f>
        <v>1</v>
      </c>
      <c r="M467" s="31" t="n">
        <f aca="false">SUM(L$5:L467)</f>
        <v>331</v>
      </c>
      <c r="N467" s="30" t="n">
        <f aca="false">N466+1</f>
        <v>46748</v>
      </c>
      <c r="O467" s="31" t="n">
        <f aca="false">INDEX($B$17:$H$17,WEEKDAY(N467,2))</f>
        <v>1</v>
      </c>
      <c r="P467" s="31" t="n">
        <f aca="false">SUM(O$5:O467)</f>
        <v>331</v>
      </c>
      <c r="Q467" s="30" t="n">
        <f aca="false">Q466+1</f>
        <v>46748</v>
      </c>
      <c r="R467" s="31" t="n">
        <f aca="false">INDEX($B$27:$H$27,WEEKDAY(Q467,2))</f>
        <v>1</v>
      </c>
      <c r="S467" s="31" t="n">
        <f aca="false">SUM(R$5:R467)</f>
        <v>331</v>
      </c>
    </row>
    <row r="468" customFormat="false" ht="15" hidden="false" customHeight="false" outlineLevel="0" collapsed="false">
      <c r="K468" s="30" t="n">
        <f aca="false">K467+1</f>
        <v>46749</v>
      </c>
      <c r="L468" s="31" t="n">
        <f aca="false">INDEX($B$7:$H$7,WEEKDAY(K468,2))</f>
        <v>1</v>
      </c>
      <c r="M468" s="31" t="n">
        <f aca="false">SUM(L$5:L468)</f>
        <v>332</v>
      </c>
      <c r="N468" s="30" t="n">
        <f aca="false">N467+1</f>
        <v>46749</v>
      </c>
      <c r="O468" s="31" t="n">
        <f aca="false">INDEX($B$17:$H$17,WEEKDAY(N468,2))</f>
        <v>1</v>
      </c>
      <c r="P468" s="31" t="n">
        <f aca="false">SUM(O$5:O468)</f>
        <v>332</v>
      </c>
      <c r="Q468" s="30" t="n">
        <f aca="false">Q467+1</f>
        <v>46749</v>
      </c>
      <c r="R468" s="31" t="n">
        <f aca="false">INDEX($B$27:$H$27,WEEKDAY(Q468,2))</f>
        <v>1</v>
      </c>
      <c r="S468" s="31" t="n">
        <f aca="false">SUM(R$5:R468)</f>
        <v>332</v>
      </c>
    </row>
    <row r="469" customFormat="false" ht="15" hidden="false" customHeight="false" outlineLevel="0" collapsed="false">
      <c r="K469" s="30" t="n">
        <f aca="false">K468+1</f>
        <v>46750</v>
      </c>
      <c r="L469" s="31" t="n">
        <f aca="false">INDEX($B$7:$H$7,WEEKDAY(K469,2))</f>
        <v>1</v>
      </c>
      <c r="M469" s="31" t="n">
        <f aca="false">SUM(L$5:L469)</f>
        <v>333</v>
      </c>
      <c r="N469" s="30" t="n">
        <f aca="false">N468+1</f>
        <v>46750</v>
      </c>
      <c r="O469" s="31" t="n">
        <f aca="false">INDEX($B$17:$H$17,WEEKDAY(N469,2))</f>
        <v>1</v>
      </c>
      <c r="P469" s="31" t="n">
        <f aca="false">SUM(O$5:O469)</f>
        <v>333</v>
      </c>
      <c r="Q469" s="30" t="n">
        <f aca="false">Q468+1</f>
        <v>46750</v>
      </c>
      <c r="R469" s="31" t="n">
        <f aca="false">INDEX($B$27:$H$27,WEEKDAY(Q469,2))</f>
        <v>1</v>
      </c>
      <c r="S469" s="31" t="n">
        <f aca="false">SUM(R$5:R469)</f>
        <v>333</v>
      </c>
    </row>
    <row r="470" customFormat="false" ht="15" hidden="false" customHeight="false" outlineLevel="0" collapsed="false">
      <c r="K470" s="30" t="n">
        <f aca="false">K469+1</f>
        <v>46751</v>
      </c>
      <c r="L470" s="31" t="n">
        <f aca="false">INDEX($B$7:$H$7,WEEKDAY(K470,2))</f>
        <v>1</v>
      </c>
      <c r="M470" s="31" t="n">
        <f aca="false">SUM(L$5:L470)</f>
        <v>334</v>
      </c>
      <c r="N470" s="30" t="n">
        <f aca="false">N469+1</f>
        <v>46751</v>
      </c>
      <c r="O470" s="31" t="n">
        <f aca="false">INDEX($B$17:$H$17,WEEKDAY(N470,2))</f>
        <v>1</v>
      </c>
      <c r="P470" s="31" t="n">
        <f aca="false">SUM(O$5:O470)</f>
        <v>334</v>
      </c>
      <c r="Q470" s="30" t="n">
        <f aca="false">Q469+1</f>
        <v>46751</v>
      </c>
      <c r="R470" s="31" t="n">
        <f aca="false">INDEX($B$27:$H$27,WEEKDAY(Q470,2))</f>
        <v>1</v>
      </c>
      <c r="S470" s="31" t="n">
        <f aca="false">SUM(R$5:R470)</f>
        <v>334</v>
      </c>
    </row>
    <row r="471" customFormat="false" ht="15" hidden="false" customHeight="false" outlineLevel="0" collapsed="false">
      <c r="K471" s="30" t="n">
        <f aca="false">K470+1</f>
        <v>46752</v>
      </c>
      <c r="L471" s="31" t="n">
        <f aca="false">INDEX($B$7:$H$7,WEEKDAY(K471,2))</f>
        <v>1</v>
      </c>
      <c r="M471" s="31" t="n">
        <f aca="false">SUM(L$5:L471)</f>
        <v>335</v>
      </c>
      <c r="N471" s="30" t="n">
        <f aca="false">N470+1</f>
        <v>46752</v>
      </c>
      <c r="O471" s="31" t="n">
        <f aca="false">INDEX($B$17:$H$17,WEEKDAY(N471,2))</f>
        <v>1</v>
      </c>
      <c r="P471" s="31" t="n">
        <f aca="false">SUM(O$5:O471)</f>
        <v>335</v>
      </c>
      <c r="Q471" s="30" t="n">
        <f aca="false">Q470+1</f>
        <v>46752</v>
      </c>
      <c r="R471" s="31" t="n">
        <f aca="false">INDEX($B$27:$H$27,WEEKDAY(Q471,2))</f>
        <v>1</v>
      </c>
      <c r="S471" s="31" t="n">
        <f aca="false">SUM(R$5:R471)</f>
        <v>335</v>
      </c>
    </row>
    <row r="472" customFormat="false" ht="15" hidden="false" customHeight="false" outlineLevel="0" collapsed="false">
      <c r="K472" s="30" t="n">
        <f aca="false">K471+1</f>
        <v>46753</v>
      </c>
      <c r="L472" s="31" t="n">
        <f aca="false">INDEX($B$7:$H$7,WEEKDAY(K472,2))</f>
        <v>0</v>
      </c>
      <c r="M472" s="31" t="n">
        <f aca="false">SUM(L$5:L472)</f>
        <v>335</v>
      </c>
      <c r="N472" s="30" t="n">
        <f aca="false">N471+1</f>
        <v>46753</v>
      </c>
      <c r="O472" s="31" t="n">
        <f aca="false">INDEX($B$17:$H$17,WEEKDAY(N472,2))</f>
        <v>0</v>
      </c>
      <c r="P472" s="31" t="n">
        <f aca="false">SUM(O$5:O472)</f>
        <v>335</v>
      </c>
      <c r="Q472" s="30" t="n">
        <f aca="false">Q471+1</f>
        <v>46753</v>
      </c>
      <c r="R472" s="31" t="n">
        <f aca="false">INDEX($B$27:$H$27,WEEKDAY(Q472,2))</f>
        <v>0</v>
      </c>
      <c r="S472" s="31" t="n">
        <f aca="false">SUM(R$5:R472)</f>
        <v>335</v>
      </c>
    </row>
    <row r="473" customFormat="false" ht="15" hidden="false" customHeight="false" outlineLevel="0" collapsed="false">
      <c r="K473" s="30" t="n">
        <f aca="false">K472+1</f>
        <v>46754</v>
      </c>
      <c r="L473" s="31" t="n">
        <f aca="false">INDEX($B$7:$H$7,WEEKDAY(K473,2))</f>
        <v>0</v>
      </c>
      <c r="M473" s="31" t="n">
        <f aca="false">SUM(L$5:L473)</f>
        <v>335</v>
      </c>
      <c r="N473" s="30" t="n">
        <f aca="false">N472+1</f>
        <v>46754</v>
      </c>
      <c r="O473" s="31" t="n">
        <f aca="false">INDEX($B$17:$H$17,WEEKDAY(N473,2))</f>
        <v>0</v>
      </c>
      <c r="P473" s="31" t="n">
        <f aca="false">SUM(O$5:O473)</f>
        <v>335</v>
      </c>
      <c r="Q473" s="30" t="n">
        <f aca="false">Q472+1</f>
        <v>46754</v>
      </c>
      <c r="R473" s="31" t="n">
        <f aca="false">INDEX($B$27:$H$27,WEEKDAY(Q473,2))</f>
        <v>0</v>
      </c>
      <c r="S473" s="31" t="n">
        <f aca="false">SUM(R$5:R473)</f>
        <v>335</v>
      </c>
    </row>
    <row r="474" customFormat="false" ht="15" hidden="false" customHeight="false" outlineLevel="0" collapsed="false">
      <c r="K474" s="30" t="n">
        <f aca="false">K473+1</f>
        <v>46755</v>
      </c>
      <c r="L474" s="31" t="n">
        <f aca="false">INDEX($B$7:$H$7,WEEKDAY(K474,2))</f>
        <v>1</v>
      </c>
      <c r="M474" s="31" t="n">
        <f aca="false">SUM(L$5:L474)</f>
        <v>336</v>
      </c>
      <c r="N474" s="30" t="n">
        <f aca="false">N473+1</f>
        <v>46755</v>
      </c>
      <c r="O474" s="31" t="n">
        <f aca="false">INDEX($B$17:$H$17,WEEKDAY(N474,2))</f>
        <v>1</v>
      </c>
      <c r="P474" s="31" t="n">
        <f aca="false">SUM(O$5:O474)</f>
        <v>336</v>
      </c>
      <c r="Q474" s="30" t="n">
        <f aca="false">Q473+1</f>
        <v>46755</v>
      </c>
      <c r="R474" s="31" t="n">
        <f aca="false">INDEX($B$27:$H$27,WEEKDAY(Q474,2))</f>
        <v>1</v>
      </c>
      <c r="S474" s="31" t="n">
        <f aca="false">SUM(R$5:R474)</f>
        <v>336</v>
      </c>
    </row>
    <row r="475" customFormat="false" ht="15" hidden="false" customHeight="false" outlineLevel="0" collapsed="false">
      <c r="K475" s="30" t="n">
        <f aca="false">K474+1</f>
        <v>46756</v>
      </c>
      <c r="L475" s="31" t="n">
        <f aca="false">INDEX($B$7:$H$7,WEEKDAY(K475,2))</f>
        <v>1</v>
      </c>
      <c r="M475" s="31" t="n">
        <f aca="false">SUM(L$5:L475)</f>
        <v>337</v>
      </c>
      <c r="N475" s="30" t="n">
        <f aca="false">N474+1</f>
        <v>46756</v>
      </c>
      <c r="O475" s="31" t="n">
        <f aca="false">INDEX($B$17:$H$17,WEEKDAY(N475,2))</f>
        <v>1</v>
      </c>
      <c r="P475" s="31" t="n">
        <f aca="false">SUM(O$5:O475)</f>
        <v>337</v>
      </c>
      <c r="Q475" s="30" t="n">
        <f aca="false">Q474+1</f>
        <v>46756</v>
      </c>
      <c r="R475" s="31" t="n">
        <f aca="false">INDEX($B$27:$H$27,WEEKDAY(Q475,2))</f>
        <v>1</v>
      </c>
      <c r="S475" s="31" t="n">
        <f aca="false">SUM(R$5:R475)</f>
        <v>337</v>
      </c>
    </row>
    <row r="476" customFormat="false" ht="15" hidden="false" customHeight="false" outlineLevel="0" collapsed="false">
      <c r="K476" s="30" t="n">
        <f aca="false">K475+1</f>
        <v>46757</v>
      </c>
      <c r="L476" s="31" t="n">
        <f aca="false">INDEX($B$7:$H$7,WEEKDAY(K476,2))</f>
        <v>1</v>
      </c>
      <c r="M476" s="31" t="n">
        <f aca="false">SUM(L$5:L476)</f>
        <v>338</v>
      </c>
      <c r="N476" s="30" t="n">
        <f aca="false">N475+1</f>
        <v>46757</v>
      </c>
      <c r="O476" s="31" t="n">
        <f aca="false">INDEX($B$17:$H$17,WEEKDAY(N476,2))</f>
        <v>1</v>
      </c>
      <c r="P476" s="31" t="n">
        <f aca="false">SUM(O$5:O476)</f>
        <v>338</v>
      </c>
      <c r="Q476" s="30" t="n">
        <f aca="false">Q475+1</f>
        <v>46757</v>
      </c>
      <c r="R476" s="31" t="n">
        <f aca="false">INDEX($B$27:$H$27,WEEKDAY(Q476,2))</f>
        <v>1</v>
      </c>
      <c r="S476" s="31" t="n">
        <f aca="false">SUM(R$5:R476)</f>
        <v>338</v>
      </c>
    </row>
    <row r="477" customFormat="false" ht="15" hidden="false" customHeight="false" outlineLevel="0" collapsed="false">
      <c r="K477" s="30" t="n">
        <f aca="false">K476+1</f>
        <v>46758</v>
      </c>
      <c r="L477" s="31" t="n">
        <f aca="false">INDEX($B$7:$H$7,WEEKDAY(K477,2))</f>
        <v>1</v>
      </c>
      <c r="M477" s="31" t="n">
        <f aca="false">SUM(L$5:L477)</f>
        <v>339</v>
      </c>
      <c r="N477" s="30" t="n">
        <f aca="false">N476+1</f>
        <v>46758</v>
      </c>
      <c r="O477" s="31" t="n">
        <f aca="false">INDEX($B$17:$H$17,WEEKDAY(N477,2))</f>
        <v>1</v>
      </c>
      <c r="P477" s="31" t="n">
        <f aca="false">SUM(O$5:O477)</f>
        <v>339</v>
      </c>
      <c r="Q477" s="30" t="n">
        <f aca="false">Q476+1</f>
        <v>46758</v>
      </c>
      <c r="R477" s="31" t="n">
        <f aca="false">INDEX($B$27:$H$27,WEEKDAY(Q477,2))</f>
        <v>1</v>
      </c>
      <c r="S477" s="31" t="n">
        <f aca="false">SUM(R$5:R477)</f>
        <v>339</v>
      </c>
    </row>
    <row r="478" customFormat="false" ht="15" hidden="false" customHeight="false" outlineLevel="0" collapsed="false">
      <c r="K478" s="30" t="n">
        <f aca="false">K477+1</f>
        <v>46759</v>
      </c>
      <c r="L478" s="31" t="n">
        <f aca="false">INDEX($B$7:$H$7,WEEKDAY(K478,2))</f>
        <v>1</v>
      </c>
      <c r="M478" s="31" t="n">
        <f aca="false">SUM(L$5:L478)</f>
        <v>340</v>
      </c>
      <c r="N478" s="30" t="n">
        <f aca="false">N477+1</f>
        <v>46759</v>
      </c>
      <c r="O478" s="31" t="n">
        <f aca="false">INDEX($B$17:$H$17,WEEKDAY(N478,2))</f>
        <v>1</v>
      </c>
      <c r="P478" s="31" t="n">
        <f aca="false">SUM(O$5:O478)</f>
        <v>340</v>
      </c>
      <c r="Q478" s="30" t="n">
        <f aca="false">Q477+1</f>
        <v>46759</v>
      </c>
      <c r="R478" s="31" t="n">
        <f aca="false">INDEX($B$27:$H$27,WEEKDAY(Q478,2))</f>
        <v>1</v>
      </c>
      <c r="S478" s="31" t="n">
        <f aca="false">SUM(R$5:R478)</f>
        <v>340</v>
      </c>
    </row>
    <row r="479" customFormat="false" ht="15" hidden="false" customHeight="false" outlineLevel="0" collapsed="false">
      <c r="K479" s="30" t="n">
        <f aca="false">K478+1</f>
        <v>46760</v>
      </c>
      <c r="L479" s="31" t="n">
        <f aca="false">INDEX($B$7:$H$7,WEEKDAY(K479,2))</f>
        <v>0</v>
      </c>
      <c r="M479" s="31" t="n">
        <f aca="false">SUM(L$5:L479)</f>
        <v>340</v>
      </c>
      <c r="N479" s="30" t="n">
        <f aca="false">N478+1</f>
        <v>46760</v>
      </c>
      <c r="O479" s="31" t="n">
        <f aca="false">INDEX($B$17:$H$17,WEEKDAY(N479,2))</f>
        <v>0</v>
      </c>
      <c r="P479" s="31" t="n">
        <f aca="false">SUM(O$5:O479)</f>
        <v>340</v>
      </c>
      <c r="Q479" s="30" t="n">
        <f aca="false">Q478+1</f>
        <v>46760</v>
      </c>
      <c r="R479" s="31" t="n">
        <f aca="false">INDEX($B$27:$H$27,WEEKDAY(Q479,2))</f>
        <v>0</v>
      </c>
      <c r="S479" s="31" t="n">
        <f aca="false">SUM(R$5:R479)</f>
        <v>340</v>
      </c>
    </row>
    <row r="480" customFormat="false" ht="15" hidden="false" customHeight="false" outlineLevel="0" collapsed="false">
      <c r="K480" s="30" t="n">
        <f aca="false">K479+1</f>
        <v>46761</v>
      </c>
      <c r="L480" s="31" t="n">
        <f aca="false">INDEX($B$7:$H$7,WEEKDAY(K480,2))</f>
        <v>0</v>
      </c>
      <c r="M480" s="31" t="n">
        <f aca="false">SUM(L$5:L480)</f>
        <v>340</v>
      </c>
      <c r="N480" s="30" t="n">
        <f aca="false">N479+1</f>
        <v>46761</v>
      </c>
      <c r="O480" s="31" t="n">
        <f aca="false">INDEX($B$17:$H$17,WEEKDAY(N480,2))</f>
        <v>0</v>
      </c>
      <c r="P480" s="31" t="n">
        <f aca="false">SUM(O$5:O480)</f>
        <v>340</v>
      </c>
      <c r="Q480" s="30" t="n">
        <f aca="false">Q479+1</f>
        <v>46761</v>
      </c>
      <c r="R480" s="31" t="n">
        <f aca="false">INDEX($B$27:$H$27,WEEKDAY(Q480,2))</f>
        <v>0</v>
      </c>
      <c r="S480" s="31" t="n">
        <f aca="false">SUM(R$5:R480)</f>
        <v>340</v>
      </c>
    </row>
    <row r="481" customFormat="false" ht="15" hidden="false" customHeight="false" outlineLevel="0" collapsed="false">
      <c r="K481" s="30" t="n">
        <f aca="false">K480+1</f>
        <v>46762</v>
      </c>
      <c r="L481" s="31" t="n">
        <f aca="false">INDEX($B$7:$H$7,WEEKDAY(K481,2))</f>
        <v>1</v>
      </c>
      <c r="M481" s="31" t="n">
        <f aca="false">SUM(L$5:L481)</f>
        <v>341</v>
      </c>
      <c r="N481" s="30" t="n">
        <f aca="false">N480+1</f>
        <v>46762</v>
      </c>
      <c r="O481" s="31" t="n">
        <f aca="false">INDEX($B$17:$H$17,WEEKDAY(N481,2))</f>
        <v>1</v>
      </c>
      <c r="P481" s="31" t="n">
        <f aca="false">SUM(O$5:O481)</f>
        <v>341</v>
      </c>
      <c r="Q481" s="30" t="n">
        <f aca="false">Q480+1</f>
        <v>46762</v>
      </c>
      <c r="R481" s="31" t="n">
        <f aca="false">INDEX($B$27:$H$27,WEEKDAY(Q481,2))</f>
        <v>1</v>
      </c>
      <c r="S481" s="31" t="n">
        <f aca="false">SUM(R$5:R481)</f>
        <v>341</v>
      </c>
    </row>
    <row r="482" customFormat="false" ht="15" hidden="false" customHeight="false" outlineLevel="0" collapsed="false">
      <c r="K482" s="30" t="n">
        <f aca="false">K481+1</f>
        <v>46763</v>
      </c>
      <c r="L482" s="31" t="n">
        <f aca="false">INDEX($B$7:$H$7,WEEKDAY(K482,2))</f>
        <v>1</v>
      </c>
      <c r="M482" s="31" t="n">
        <f aca="false">SUM(L$5:L482)</f>
        <v>342</v>
      </c>
      <c r="N482" s="30" t="n">
        <f aca="false">N481+1</f>
        <v>46763</v>
      </c>
      <c r="O482" s="31" t="n">
        <f aca="false">INDEX($B$17:$H$17,WEEKDAY(N482,2))</f>
        <v>1</v>
      </c>
      <c r="P482" s="31" t="n">
        <f aca="false">SUM(O$5:O482)</f>
        <v>342</v>
      </c>
      <c r="Q482" s="30" t="n">
        <f aca="false">Q481+1</f>
        <v>46763</v>
      </c>
      <c r="R482" s="31" t="n">
        <f aca="false">INDEX($B$27:$H$27,WEEKDAY(Q482,2))</f>
        <v>1</v>
      </c>
      <c r="S482" s="31" t="n">
        <f aca="false">SUM(R$5:R482)</f>
        <v>342</v>
      </c>
    </row>
    <row r="483" customFormat="false" ht="15" hidden="false" customHeight="false" outlineLevel="0" collapsed="false">
      <c r="K483" s="30" t="n">
        <f aca="false">K482+1</f>
        <v>46764</v>
      </c>
      <c r="L483" s="31" t="n">
        <f aca="false">INDEX($B$7:$H$7,WEEKDAY(K483,2))</f>
        <v>1</v>
      </c>
      <c r="M483" s="31" t="n">
        <f aca="false">SUM(L$5:L483)</f>
        <v>343</v>
      </c>
      <c r="N483" s="30" t="n">
        <f aca="false">N482+1</f>
        <v>46764</v>
      </c>
      <c r="O483" s="31" t="n">
        <f aca="false">INDEX($B$17:$H$17,WEEKDAY(N483,2))</f>
        <v>1</v>
      </c>
      <c r="P483" s="31" t="n">
        <f aca="false">SUM(O$5:O483)</f>
        <v>343</v>
      </c>
      <c r="Q483" s="30" t="n">
        <f aca="false">Q482+1</f>
        <v>46764</v>
      </c>
      <c r="R483" s="31" t="n">
        <f aca="false">INDEX($B$27:$H$27,WEEKDAY(Q483,2))</f>
        <v>1</v>
      </c>
      <c r="S483" s="31" t="n">
        <f aca="false">SUM(R$5:R483)</f>
        <v>343</v>
      </c>
    </row>
    <row r="484" customFormat="false" ht="15" hidden="false" customHeight="false" outlineLevel="0" collapsed="false">
      <c r="K484" s="30" t="n">
        <f aca="false">K483+1</f>
        <v>46765</v>
      </c>
      <c r="L484" s="31" t="n">
        <f aca="false">INDEX($B$7:$H$7,WEEKDAY(K484,2))</f>
        <v>1</v>
      </c>
      <c r="M484" s="31" t="n">
        <f aca="false">SUM(L$5:L484)</f>
        <v>344</v>
      </c>
      <c r="N484" s="30" t="n">
        <f aca="false">N483+1</f>
        <v>46765</v>
      </c>
      <c r="O484" s="31" t="n">
        <f aca="false">INDEX($B$17:$H$17,WEEKDAY(N484,2))</f>
        <v>1</v>
      </c>
      <c r="P484" s="31" t="n">
        <f aca="false">SUM(O$5:O484)</f>
        <v>344</v>
      </c>
      <c r="Q484" s="30" t="n">
        <f aca="false">Q483+1</f>
        <v>46765</v>
      </c>
      <c r="R484" s="31" t="n">
        <f aca="false">INDEX($B$27:$H$27,WEEKDAY(Q484,2))</f>
        <v>1</v>
      </c>
      <c r="S484" s="31" t="n">
        <f aca="false">SUM(R$5:R484)</f>
        <v>344</v>
      </c>
    </row>
    <row r="485" customFormat="false" ht="15" hidden="false" customHeight="false" outlineLevel="0" collapsed="false">
      <c r="K485" s="30" t="n">
        <f aca="false">K484+1</f>
        <v>46766</v>
      </c>
      <c r="L485" s="31" t="n">
        <f aca="false">INDEX($B$7:$H$7,WEEKDAY(K485,2))</f>
        <v>1</v>
      </c>
      <c r="M485" s="31" t="n">
        <f aca="false">SUM(L$5:L485)</f>
        <v>345</v>
      </c>
      <c r="N485" s="30" t="n">
        <f aca="false">N484+1</f>
        <v>46766</v>
      </c>
      <c r="O485" s="31" t="n">
        <f aca="false">INDEX($B$17:$H$17,WEEKDAY(N485,2))</f>
        <v>1</v>
      </c>
      <c r="P485" s="31" t="n">
        <f aca="false">SUM(O$5:O485)</f>
        <v>345</v>
      </c>
      <c r="Q485" s="30" t="n">
        <f aca="false">Q484+1</f>
        <v>46766</v>
      </c>
      <c r="R485" s="31" t="n">
        <f aca="false">INDEX($B$27:$H$27,WEEKDAY(Q485,2))</f>
        <v>1</v>
      </c>
      <c r="S485" s="31" t="n">
        <f aca="false">SUM(R$5:R485)</f>
        <v>345</v>
      </c>
    </row>
    <row r="486" customFormat="false" ht="15" hidden="false" customHeight="false" outlineLevel="0" collapsed="false">
      <c r="K486" s="30" t="n">
        <f aca="false">K485+1</f>
        <v>46767</v>
      </c>
      <c r="L486" s="31" t="n">
        <f aca="false">INDEX($B$7:$H$7,WEEKDAY(K486,2))</f>
        <v>0</v>
      </c>
      <c r="M486" s="31" t="n">
        <f aca="false">SUM(L$5:L486)</f>
        <v>345</v>
      </c>
      <c r="N486" s="30" t="n">
        <f aca="false">N485+1</f>
        <v>46767</v>
      </c>
      <c r="O486" s="31" t="n">
        <f aca="false">INDEX($B$17:$H$17,WEEKDAY(N486,2))</f>
        <v>0</v>
      </c>
      <c r="P486" s="31" t="n">
        <f aca="false">SUM(O$5:O486)</f>
        <v>345</v>
      </c>
      <c r="Q486" s="30" t="n">
        <f aca="false">Q485+1</f>
        <v>46767</v>
      </c>
      <c r="R486" s="31" t="n">
        <f aca="false">INDEX($B$27:$H$27,WEEKDAY(Q486,2))</f>
        <v>0</v>
      </c>
      <c r="S486" s="31" t="n">
        <f aca="false">SUM(R$5:R486)</f>
        <v>345</v>
      </c>
    </row>
    <row r="487" customFormat="false" ht="15" hidden="false" customHeight="false" outlineLevel="0" collapsed="false">
      <c r="K487" s="30" t="n">
        <f aca="false">K486+1</f>
        <v>46768</v>
      </c>
      <c r="L487" s="31" t="n">
        <f aca="false">INDEX($B$7:$H$7,WEEKDAY(K487,2))</f>
        <v>0</v>
      </c>
      <c r="M487" s="31" t="n">
        <f aca="false">SUM(L$5:L487)</f>
        <v>345</v>
      </c>
      <c r="N487" s="30" t="n">
        <f aca="false">N486+1</f>
        <v>46768</v>
      </c>
      <c r="O487" s="31" t="n">
        <f aca="false">INDEX($B$17:$H$17,WEEKDAY(N487,2))</f>
        <v>0</v>
      </c>
      <c r="P487" s="31" t="n">
        <f aca="false">SUM(O$5:O487)</f>
        <v>345</v>
      </c>
      <c r="Q487" s="30" t="n">
        <f aca="false">Q486+1</f>
        <v>46768</v>
      </c>
      <c r="R487" s="31" t="n">
        <f aca="false">INDEX($B$27:$H$27,WEEKDAY(Q487,2))</f>
        <v>0</v>
      </c>
      <c r="S487" s="31" t="n">
        <f aca="false">SUM(R$5:R487)</f>
        <v>345</v>
      </c>
    </row>
    <row r="488" customFormat="false" ht="15" hidden="false" customHeight="false" outlineLevel="0" collapsed="false">
      <c r="K488" s="30" t="n">
        <f aca="false">K487+1</f>
        <v>46769</v>
      </c>
      <c r="L488" s="31" t="n">
        <f aca="false">INDEX($B$7:$H$7,WEEKDAY(K488,2))</f>
        <v>1</v>
      </c>
      <c r="M488" s="31" t="n">
        <f aca="false">SUM(L$5:L488)</f>
        <v>346</v>
      </c>
      <c r="N488" s="30" t="n">
        <f aca="false">N487+1</f>
        <v>46769</v>
      </c>
      <c r="O488" s="31" t="n">
        <f aca="false">INDEX($B$17:$H$17,WEEKDAY(N488,2))</f>
        <v>1</v>
      </c>
      <c r="P488" s="31" t="n">
        <f aca="false">SUM(O$5:O488)</f>
        <v>346</v>
      </c>
      <c r="Q488" s="30" t="n">
        <f aca="false">Q487+1</f>
        <v>46769</v>
      </c>
      <c r="R488" s="31" t="n">
        <f aca="false">INDEX($B$27:$H$27,WEEKDAY(Q488,2))</f>
        <v>1</v>
      </c>
      <c r="S488" s="31" t="n">
        <f aca="false">SUM(R$5:R488)</f>
        <v>346</v>
      </c>
    </row>
    <row r="489" customFormat="false" ht="15" hidden="false" customHeight="false" outlineLevel="0" collapsed="false">
      <c r="K489" s="30" t="n">
        <f aca="false">K488+1</f>
        <v>46770</v>
      </c>
      <c r="L489" s="31" t="n">
        <f aca="false">INDEX($B$7:$H$7,WEEKDAY(K489,2))</f>
        <v>1</v>
      </c>
      <c r="M489" s="31" t="n">
        <f aca="false">SUM(L$5:L489)</f>
        <v>347</v>
      </c>
      <c r="N489" s="30" t="n">
        <f aca="false">N488+1</f>
        <v>46770</v>
      </c>
      <c r="O489" s="31" t="n">
        <f aca="false">INDEX($B$17:$H$17,WEEKDAY(N489,2))</f>
        <v>1</v>
      </c>
      <c r="P489" s="31" t="n">
        <f aca="false">SUM(O$5:O489)</f>
        <v>347</v>
      </c>
      <c r="Q489" s="30" t="n">
        <f aca="false">Q488+1</f>
        <v>46770</v>
      </c>
      <c r="R489" s="31" t="n">
        <f aca="false">INDEX($B$27:$H$27,WEEKDAY(Q489,2))</f>
        <v>1</v>
      </c>
      <c r="S489" s="31" t="n">
        <f aca="false">SUM(R$5:R489)</f>
        <v>347</v>
      </c>
    </row>
    <row r="490" customFormat="false" ht="15" hidden="false" customHeight="false" outlineLevel="0" collapsed="false">
      <c r="K490" s="30" t="n">
        <f aca="false">K489+1</f>
        <v>46771</v>
      </c>
      <c r="L490" s="31" t="n">
        <f aca="false">INDEX($B$7:$H$7,WEEKDAY(K490,2))</f>
        <v>1</v>
      </c>
      <c r="M490" s="31" t="n">
        <f aca="false">SUM(L$5:L490)</f>
        <v>348</v>
      </c>
      <c r="N490" s="30" t="n">
        <f aca="false">N489+1</f>
        <v>46771</v>
      </c>
      <c r="O490" s="31" t="n">
        <f aca="false">INDEX($B$17:$H$17,WEEKDAY(N490,2))</f>
        <v>1</v>
      </c>
      <c r="P490" s="31" t="n">
        <f aca="false">SUM(O$5:O490)</f>
        <v>348</v>
      </c>
      <c r="Q490" s="30" t="n">
        <f aca="false">Q489+1</f>
        <v>46771</v>
      </c>
      <c r="R490" s="31" t="n">
        <f aca="false">INDEX($B$27:$H$27,WEEKDAY(Q490,2))</f>
        <v>1</v>
      </c>
      <c r="S490" s="31" t="n">
        <f aca="false">SUM(R$5:R490)</f>
        <v>348</v>
      </c>
    </row>
    <row r="491" customFormat="false" ht="15" hidden="false" customHeight="false" outlineLevel="0" collapsed="false">
      <c r="K491" s="30" t="n">
        <f aca="false">K490+1</f>
        <v>46772</v>
      </c>
      <c r="L491" s="31" t="n">
        <f aca="false">INDEX($B$7:$H$7,WEEKDAY(K491,2))</f>
        <v>1</v>
      </c>
      <c r="M491" s="31" t="n">
        <f aca="false">SUM(L$5:L491)</f>
        <v>349</v>
      </c>
      <c r="N491" s="30" t="n">
        <f aca="false">N490+1</f>
        <v>46772</v>
      </c>
      <c r="O491" s="31" t="n">
        <f aca="false">INDEX($B$17:$H$17,WEEKDAY(N491,2))</f>
        <v>1</v>
      </c>
      <c r="P491" s="31" t="n">
        <f aca="false">SUM(O$5:O491)</f>
        <v>349</v>
      </c>
      <c r="Q491" s="30" t="n">
        <f aca="false">Q490+1</f>
        <v>46772</v>
      </c>
      <c r="R491" s="31" t="n">
        <f aca="false">INDEX($B$27:$H$27,WEEKDAY(Q491,2))</f>
        <v>1</v>
      </c>
      <c r="S491" s="31" t="n">
        <f aca="false">SUM(R$5:R491)</f>
        <v>349</v>
      </c>
    </row>
    <row r="492" customFormat="false" ht="15" hidden="false" customHeight="false" outlineLevel="0" collapsed="false">
      <c r="K492" s="30" t="n">
        <f aca="false">K491+1</f>
        <v>46773</v>
      </c>
      <c r="L492" s="31" t="n">
        <f aca="false">INDEX($B$7:$H$7,WEEKDAY(K492,2))</f>
        <v>1</v>
      </c>
      <c r="M492" s="31" t="n">
        <f aca="false">SUM(L$5:L492)</f>
        <v>350</v>
      </c>
      <c r="N492" s="30" t="n">
        <f aca="false">N491+1</f>
        <v>46773</v>
      </c>
      <c r="O492" s="31" t="n">
        <f aca="false">INDEX($B$17:$H$17,WEEKDAY(N492,2))</f>
        <v>1</v>
      </c>
      <c r="P492" s="31" t="n">
        <f aca="false">SUM(O$5:O492)</f>
        <v>350</v>
      </c>
      <c r="Q492" s="30" t="n">
        <f aca="false">Q491+1</f>
        <v>46773</v>
      </c>
      <c r="R492" s="31" t="n">
        <f aca="false">INDEX($B$27:$H$27,WEEKDAY(Q492,2))</f>
        <v>1</v>
      </c>
      <c r="S492" s="31" t="n">
        <f aca="false">SUM(R$5:R492)</f>
        <v>350</v>
      </c>
    </row>
    <row r="493" customFormat="false" ht="15" hidden="false" customHeight="false" outlineLevel="0" collapsed="false">
      <c r="K493" s="30" t="n">
        <f aca="false">K492+1</f>
        <v>46774</v>
      </c>
      <c r="L493" s="31" t="n">
        <f aca="false">INDEX($B$7:$H$7,WEEKDAY(K493,2))</f>
        <v>0</v>
      </c>
      <c r="M493" s="31" t="n">
        <f aca="false">SUM(L$5:L493)</f>
        <v>350</v>
      </c>
      <c r="N493" s="30" t="n">
        <f aca="false">N492+1</f>
        <v>46774</v>
      </c>
      <c r="O493" s="31" t="n">
        <f aca="false">INDEX($B$17:$H$17,WEEKDAY(N493,2))</f>
        <v>0</v>
      </c>
      <c r="P493" s="31" t="n">
        <f aca="false">SUM(O$5:O493)</f>
        <v>350</v>
      </c>
      <c r="Q493" s="30" t="n">
        <f aca="false">Q492+1</f>
        <v>46774</v>
      </c>
      <c r="R493" s="31" t="n">
        <f aca="false">INDEX($B$27:$H$27,WEEKDAY(Q493,2))</f>
        <v>0</v>
      </c>
      <c r="S493" s="31" t="n">
        <f aca="false">SUM(R$5:R493)</f>
        <v>350</v>
      </c>
    </row>
    <row r="494" customFormat="false" ht="15" hidden="false" customHeight="false" outlineLevel="0" collapsed="false">
      <c r="K494" s="30" t="n">
        <f aca="false">K493+1</f>
        <v>46775</v>
      </c>
      <c r="L494" s="31" t="n">
        <f aca="false">INDEX($B$7:$H$7,WEEKDAY(K494,2))</f>
        <v>0</v>
      </c>
      <c r="M494" s="31" t="n">
        <f aca="false">SUM(L$5:L494)</f>
        <v>350</v>
      </c>
      <c r="N494" s="30" t="n">
        <f aca="false">N493+1</f>
        <v>46775</v>
      </c>
      <c r="O494" s="31" t="n">
        <f aca="false">INDEX($B$17:$H$17,WEEKDAY(N494,2))</f>
        <v>0</v>
      </c>
      <c r="P494" s="31" t="n">
        <f aca="false">SUM(O$5:O494)</f>
        <v>350</v>
      </c>
      <c r="Q494" s="30" t="n">
        <f aca="false">Q493+1</f>
        <v>46775</v>
      </c>
      <c r="R494" s="31" t="n">
        <f aca="false">INDEX($B$27:$H$27,WEEKDAY(Q494,2))</f>
        <v>0</v>
      </c>
      <c r="S494" s="31" t="n">
        <f aca="false">SUM(R$5:R494)</f>
        <v>350</v>
      </c>
    </row>
    <row r="495" customFormat="false" ht="15" hidden="false" customHeight="false" outlineLevel="0" collapsed="false">
      <c r="K495" s="30" t="n">
        <f aca="false">K494+1</f>
        <v>46776</v>
      </c>
      <c r="L495" s="31" t="n">
        <f aca="false">INDEX($B$7:$H$7,WEEKDAY(K495,2))</f>
        <v>1</v>
      </c>
      <c r="M495" s="31" t="n">
        <f aca="false">SUM(L$5:L495)</f>
        <v>351</v>
      </c>
      <c r="N495" s="30" t="n">
        <f aca="false">N494+1</f>
        <v>46776</v>
      </c>
      <c r="O495" s="31" t="n">
        <f aca="false">INDEX($B$17:$H$17,WEEKDAY(N495,2))</f>
        <v>1</v>
      </c>
      <c r="P495" s="31" t="n">
        <f aca="false">SUM(O$5:O495)</f>
        <v>351</v>
      </c>
      <c r="Q495" s="30" t="n">
        <f aca="false">Q494+1</f>
        <v>46776</v>
      </c>
      <c r="R495" s="31" t="n">
        <f aca="false">INDEX($B$27:$H$27,WEEKDAY(Q495,2))</f>
        <v>1</v>
      </c>
      <c r="S495" s="31" t="n">
        <f aca="false">SUM(R$5:R495)</f>
        <v>351</v>
      </c>
    </row>
    <row r="496" customFormat="false" ht="15" hidden="false" customHeight="false" outlineLevel="0" collapsed="false">
      <c r="K496" s="30" t="n">
        <f aca="false">K495+1</f>
        <v>46777</v>
      </c>
      <c r="L496" s="31" t="n">
        <f aca="false">INDEX($B$7:$H$7,WEEKDAY(K496,2))</f>
        <v>1</v>
      </c>
      <c r="M496" s="31" t="n">
        <f aca="false">SUM(L$5:L496)</f>
        <v>352</v>
      </c>
      <c r="N496" s="30" t="n">
        <f aca="false">N495+1</f>
        <v>46777</v>
      </c>
      <c r="O496" s="31" t="n">
        <f aca="false">INDEX($B$17:$H$17,WEEKDAY(N496,2))</f>
        <v>1</v>
      </c>
      <c r="P496" s="31" t="n">
        <f aca="false">SUM(O$5:O496)</f>
        <v>352</v>
      </c>
      <c r="Q496" s="30" t="n">
        <f aca="false">Q495+1</f>
        <v>46777</v>
      </c>
      <c r="R496" s="31" t="n">
        <f aca="false">INDEX($B$27:$H$27,WEEKDAY(Q496,2))</f>
        <v>1</v>
      </c>
      <c r="S496" s="31" t="n">
        <f aca="false">SUM(R$5:R496)</f>
        <v>352</v>
      </c>
    </row>
    <row r="497" customFormat="false" ht="15" hidden="false" customHeight="false" outlineLevel="0" collapsed="false">
      <c r="K497" s="30" t="n">
        <f aca="false">K496+1</f>
        <v>46778</v>
      </c>
      <c r="L497" s="31" t="n">
        <f aca="false">INDEX($B$7:$H$7,WEEKDAY(K497,2))</f>
        <v>1</v>
      </c>
      <c r="M497" s="31" t="n">
        <f aca="false">SUM(L$5:L497)</f>
        <v>353</v>
      </c>
      <c r="N497" s="30" t="n">
        <f aca="false">N496+1</f>
        <v>46778</v>
      </c>
      <c r="O497" s="31" t="n">
        <f aca="false">INDEX($B$17:$H$17,WEEKDAY(N497,2))</f>
        <v>1</v>
      </c>
      <c r="P497" s="31" t="n">
        <f aca="false">SUM(O$5:O497)</f>
        <v>353</v>
      </c>
      <c r="Q497" s="30" t="n">
        <f aca="false">Q496+1</f>
        <v>46778</v>
      </c>
      <c r="R497" s="31" t="n">
        <f aca="false">INDEX($B$27:$H$27,WEEKDAY(Q497,2))</f>
        <v>1</v>
      </c>
      <c r="S497" s="31" t="n">
        <f aca="false">SUM(R$5:R497)</f>
        <v>353</v>
      </c>
    </row>
    <row r="498" customFormat="false" ht="15" hidden="false" customHeight="false" outlineLevel="0" collapsed="false">
      <c r="K498" s="30" t="n">
        <f aca="false">K497+1</f>
        <v>46779</v>
      </c>
      <c r="L498" s="31" t="n">
        <f aca="false">INDEX($B$7:$H$7,WEEKDAY(K498,2))</f>
        <v>1</v>
      </c>
      <c r="M498" s="31" t="n">
        <f aca="false">SUM(L$5:L498)</f>
        <v>354</v>
      </c>
      <c r="N498" s="30" t="n">
        <f aca="false">N497+1</f>
        <v>46779</v>
      </c>
      <c r="O498" s="31" t="n">
        <f aca="false">INDEX($B$17:$H$17,WEEKDAY(N498,2))</f>
        <v>1</v>
      </c>
      <c r="P498" s="31" t="n">
        <f aca="false">SUM(O$5:O498)</f>
        <v>354</v>
      </c>
      <c r="Q498" s="30" t="n">
        <f aca="false">Q497+1</f>
        <v>46779</v>
      </c>
      <c r="R498" s="31" t="n">
        <f aca="false">INDEX($B$27:$H$27,WEEKDAY(Q498,2))</f>
        <v>1</v>
      </c>
      <c r="S498" s="31" t="n">
        <f aca="false">SUM(R$5:R498)</f>
        <v>354</v>
      </c>
    </row>
    <row r="499" customFormat="false" ht="15" hidden="false" customHeight="false" outlineLevel="0" collapsed="false">
      <c r="K499" s="30" t="n">
        <f aca="false">K498+1</f>
        <v>46780</v>
      </c>
      <c r="L499" s="31" t="n">
        <f aca="false">INDEX($B$7:$H$7,WEEKDAY(K499,2))</f>
        <v>1</v>
      </c>
      <c r="M499" s="31" t="n">
        <f aca="false">SUM(L$5:L499)</f>
        <v>355</v>
      </c>
      <c r="N499" s="30" t="n">
        <f aca="false">N498+1</f>
        <v>46780</v>
      </c>
      <c r="O499" s="31" t="n">
        <f aca="false">INDEX($B$17:$H$17,WEEKDAY(N499,2))</f>
        <v>1</v>
      </c>
      <c r="P499" s="31" t="n">
        <f aca="false">SUM(O$5:O499)</f>
        <v>355</v>
      </c>
      <c r="Q499" s="30" t="n">
        <f aca="false">Q498+1</f>
        <v>46780</v>
      </c>
      <c r="R499" s="31" t="n">
        <f aca="false">INDEX($B$27:$H$27,WEEKDAY(Q499,2))</f>
        <v>1</v>
      </c>
      <c r="S499" s="31" t="n">
        <f aca="false">SUM(R$5:R499)</f>
        <v>355</v>
      </c>
    </row>
    <row r="500" customFormat="false" ht="15" hidden="false" customHeight="false" outlineLevel="0" collapsed="false">
      <c r="K500" s="30" t="n">
        <f aca="false">K499+1</f>
        <v>46781</v>
      </c>
      <c r="L500" s="31" t="n">
        <f aca="false">INDEX($B$7:$H$7,WEEKDAY(K500,2))</f>
        <v>0</v>
      </c>
      <c r="M500" s="31" t="n">
        <f aca="false">SUM(L$5:L500)</f>
        <v>355</v>
      </c>
      <c r="N500" s="30" t="n">
        <f aca="false">N499+1</f>
        <v>46781</v>
      </c>
      <c r="O500" s="31" t="n">
        <f aca="false">INDEX($B$17:$H$17,WEEKDAY(N500,2))</f>
        <v>0</v>
      </c>
      <c r="P500" s="31" t="n">
        <f aca="false">SUM(O$5:O500)</f>
        <v>355</v>
      </c>
      <c r="Q500" s="30" t="n">
        <f aca="false">Q499+1</f>
        <v>46781</v>
      </c>
      <c r="R500" s="31" t="n">
        <f aca="false">INDEX($B$27:$H$27,WEEKDAY(Q500,2))</f>
        <v>0</v>
      </c>
      <c r="S500" s="31" t="n">
        <f aca="false">SUM(R$5:R500)</f>
        <v>355</v>
      </c>
    </row>
    <row r="501" customFormat="false" ht="15" hidden="false" customHeight="false" outlineLevel="0" collapsed="false">
      <c r="K501" s="30" t="n">
        <f aca="false">K500+1</f>
        <v>46782</v>
      </c>
      <c r="L501" s="31" t="n">
        <f aca="false">INDEX($B$7:$H$7,WEEKDAY(K501,2))</f>
        <v>0</v>
      </c>
      <c r="M501" s="31" t="n">
        <f aca="false">SUM(L$5:L501)</f>
        <v>355</v>
      </c>
      <c r="N501" s="30" t="n">
        <f aca="false">N500+1</f>
        <v>46782</v>
      </c>
      <c r="O501" s="31" t="n">
        <f aca="false">INDEX($B$17:$H$17,WEEKDAY(N501,2))</f>
        <v>0</v>
      </c>
      <c r="P501" s="31" t="n">
        <f aca="false">SUM(O$5:O501)</f>
        <v>355</v>
      </c>
      <c r="Q501" s="30" t="n">
        <f aca="false">Q500+1</f>
        <v>46782</v>
      </c>
      <c r="R501" s="31" t="n">
        <f aca="false">INDEX($B$27:$H$27,WEEKDAY(Q501,2))</f>
        <v>0</v>
      </c>
      <c r="S501" s="31" t="n">
        <f aca="false">SUM(R$5:R501)</f>
        <v>355</v>
      </c>
    </row>
    <row r="502" customFormat="false" ht="15" hidden="false" customHeight="false" outlineLevel="0" collapsed="false">
      <c r="K502" s="30" t="n">
        <f aca="false">K501+1</f>
        <v>46783</v>
      </c>
      <c r="L502" s="31" t="n">
        <f aca="false">INDEX($B$7:$H$7,WEEKDAY(K502,2))</f>
        <v>1</v>
      </c>
      <c r="M502" s="31" t="n">
        <f aca="false">SUM(L$5:L502)</f>
        <v>356</v>
      </c>
      <c r="N502" s="30" t="n">
        <f aca="false">N501+1</f>
        <v>46783</v>
      </c>
      <c r="O502" s="31" t="n">
        <f aca="false">INDEX($B$17:$H$17,WEEKDAY(N502,2))</f>
        <v>1</v>
      </c>
      <c r="P502" s="31" t="n">
        <f aca="false">SUM(O$5:O502)</f>
        <v>356</v>
      </c>
      <c r="Q502" s="30" t="n">
        <f aca="false">Q501+1</f>
        <v>46783</v>
      </c>
      <c r="R502" s="31" t="n">
        <f aca="false">INDEX($B$27:$H$27,WEEKDAY(Q502,2))</f>
        <v>1</v>
      </c>
      <c r="S502" s="31" t="n">
        <f aca="false">SUM(R$5:R502)</f>
        <v>356</v>
      </c>
    </row>
    <row r="503" customFormat="false" ht="15" hidden="false" customHeight="false" outlineLevel="0" collapsed="false">
      <c r="K503" s="30" t="n">
        <f aca="false">K502+1</f>
        <v>46784</v>
      </c>
      <c r="L503" s="31" t="n">
        <f aca="false">INDEX($B$7:$H$7,WEEKDAY(K503,2))</f>
        <v>1</v>
      </c>
      <c r="M503" s="31" t="n">
        <f aca="false">SUM(L$5:L503)</f>
        <v>357</v>
      </c>
      <c r="N503" s="30" t="n">
        <f aca="false">N502+1</f>
        <v>46784</v>
      </c>
      <c r="O503" s="31" t="n">
        <f aca="false">INDEX($B$17:$H$17,WEEKDAY(N503,2))</f>
        <v>1</v>
      </c>
      <c r="P503" s="31" t="n">
        <f aca="false">SUM(O$5:O503)</f>
        <v>357</v>
      </c>
      <c r="Q503" s="30" t="n">
        <f aca="false">Q502+1</f>
        <v>46784</v>
      </c>
      <c r="R503" s="31" t="n">
        <f aca="false">INDEX($B$27:$H$27,WEEKDAY(Q503,2))</f>
        <v>1</v>
      </c>
      <c r="S503" s="31" t="n">
        <f aca="false">SUM(R$5:R503)</f>
        <v>357</v>
      </c>
    </row>
    <row r="504" customFormat="false" ht="15" hidden="false" customHeight="false" outlineLevel="0" collapsed="false">
      <c r="K504" s="30" t="n">
        <f aca="false">K503+1</f>
        <v>46785</v>
      </c>
      <c r="L504" s="31" t="n">
        <f aca="false">INDEX($B$7:$H$7,WEEKDAY(K504,2))</f>
        <v>1</v>
      </c>
      <c r="M504" s="31" t="n">
        <f aca="false">SUM(L$5:L504)</f>
        <v>358</v>
      </c>
      <c r="N504" s="30" t="n">
        <f aca="false">N503+1</f>
        <v>46785</v>
      </c>
      <c r="O504" s="31" t="n">
        <f aca="false">INDEX($B$17:$H$17,WEEKDAY(N504,2))</f>
        <v>1</v>
      </c>
      <c r="P504" s="31" t="n">
        <f aca="false">SUM(O$5:O504)</f>
        <v>358</v>
      </c>
      <c r="Q504" s="30" t="n">
        <f aca="false">Q503+1</f>
        <v>46785</v>
      </c>
      <c r="R504" s="31" t="n">
        <f aca="false">INDEX($B$27:$H$27,WEEKDAY(Q504,2))</f>
        <v>1</v>
      </c>
      <c r="S504" s="31" t="n">
        <f aca="false">SUM(R$5:R504)</f>
        <v>358</v>
      </c>
    </row>
  </sheetData>
  <mergeCells count="4">
    <mergeCell ref="A35:H35"/>
    <mergeCell ref="A36:H36"/>
    <mergeCell ref="A37:H37"/>
    <mergeCell ref="A38:H38"/>
  </mergeCells>
  <dataValidations count="2">
    <dataValidation allowBlank="false" error="Enter 1 (held) or 0 (not held)" errorStyle="stop" operator="between" showDropDown="false" showErrorMessage="true" showInputMessage="false" sqref="B7:H7 B17:H17 B27:H27" type="whole">
      <formula1>0</formula1>
      <formula2>1</formula2>
    </dataValidation>
    <dataValidation allowBlank="false" error="Enter a whole number from 1 to 4" errorStyle="stop" operator="between" showDropDown="false" showErrorMessage="true" showInputMessage="false" sqref="B8 B18 B28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62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0" hidden="false" customHeight="true" outlineLevel="0" collapsed="false">
      <c r="A4" s="4" t="s">
        <v>85</v>
      </c>
      <c r="B4" s="4" t="s">
        <v>86</v>
      </c>
      <c r="C4" s="4" t="s">
        <v>61</v>
      </c>
      <c r="D4" s="4" t="s">
        <v>87</v>
      </c>
      <c r="E4" s="4" t="s">
        <v>19</v>
      </c>
      <c r="F4" s="4" t="s">
        <v>88</v>
      </c>
      <c r="G4" s="4" t="s">
        <v>89</v>
      </c>
      <c r="H4" s="4" t="s">
        <v>90</v>
      </c>
      <c r="I4" s="4" t="s">
        <v>6</v>
      </c>
      <c r="J4" s="4" t="s">
        <v>91</v>
      </c>
      <c r="K4" s="4" t="s">
        <v>9</v>
      </c>
      <c r="L4" s="4" t="s">
        <v>92</v>
      </c>
    </row>
    <row r="5" customFormat="false" ht="44.25" hidden="false" customHeight="true" outlineLevel="0" collapsed="false">
      <c r="A5" s="36" t="n">
        <v>1</v>
      </c>
      <c r="B5" s="36" t="n">
        <f aca="false">IFERROR(ROUNDUP(A5/'Schedule Planner'!$B$8,0),"")</f>
        <v>1</v>
      </c>
      <c r="C5" s="37" t="n">
        <f aca="false">IFERROR(INDEX('Schedule Planner'!$K$5:$K$504,MATCH(B5,'Schedule Planner'!$M$5:$M$504,0)),"Set training days")</f>
        <v>46286</v>
      </c>
      <c r="D5" s="38" t="n">
        <f aca="false">IF(ISNUMBER(C5),C5,"")</f>
        <v>46286</v>
      </c>
      <c r="E5" s="39" t="s">
        <v>20</v>
      </c>
      <c r="F5" s="40" t="s">
        <v>93</v>
      </c>
      <c r="G5" s="39" t="s">
        <v>94</v>
      </c>
      <c r="H5" s="39" t="s">
        <v>95</v>
      </c>
      <c r="I5" s="41" t="n">
        <v>2</v>
      </c>
      <c r="J5" s="42" t="s">
        <v>96</v>
      </c>
      <c r="K5" s="42"/>
      <c r="L5" s="43"/>
    </row>
    <row r="6" customFormat="false" ht="84.75" hidden="false" customHeight="true" outlineLevel="0" collapsed="false">
      <c r="A6" s="44" t="n">
        <v>2</v>
      </c>
      <c r="B6" s="44" t="n">
        <f aca="false">IFERROR(ROUNDUP(A6/'Schedule Planner'!$B$8,0),"")</f>
        <v>2</v>
      </c>
      <c r="C6" s="45" t="n">
        <f aca="false">IFERROR(INDEX('Schedule Planner'!$K$5:$K$504,MATCH(B6,'Schedule Planner'!$M$5:$M$504,0)),"Set training days")</f>
        <v>46287</v>
      </c>
      <c r="D6" s="46" t="n">
        <f aca="false">IF(ISNUMBER(C6),C6,"")</f>
        <v>46287</v>
      </c>
      <c r="E6" s="47" t="s">
        <v>21</v>
      </c>
      <c r="F6" s="48" t="s">
        <v>97</v>
      </c>
      <c r="G6" s="47" t="s">
        <v>98</v>
      </c>
      <c r="H6" s="47" t="s">
        <v>99</v>
      </c>
      <c r="I6" s="41" t="n">
        <v>2</v>
      </c>
      <c r="J6" s="42" t="s">
        <v>96</v>
      </c>
      <c r="K6" s="42"/>
      <c r="L6" s="43"/>
    </row>
    <row r="7" customFormat="false" ht="44.25" hidden="false" customHeight="true" outlineLevel="0" collapsed="false">
      <c r="A7" s="44" t="n">
        <v>3</v>
      </c>
      <c r="B7" s="44" t="n">
        <f aca="false">IFERROR(ROUNDUP(A7/'Schedule Planner'!$B$8,0),"")</f>
        <v>3</v>
      </c>
      <c r="C7" s="45" t="n">
        <f aca="false">IFERROR(INDEX('Schedule Planner'!$K$5:$K$504,MATCH(B7,'Schedule Planner'!$M$5:$M$504,0)),"Set training days")</f>
        <v>46288</v>
      </c>
      <c r="D7" s="46" t="n">
        <f aca="false">IF(ISNUMBER(C7),C7,"")</f>
        <v>46288</v>
      </c>
      <c r="E7" s="47" t="s">
        <v>21</v>
      </c>
      <c r="F7" s="48" t="s">
        <v>100</v>
      </c>
      <c r="G7" s="47" t="s">
        <v>101</v>
      </c>
      <c r="H7" s="47" t="s">
        <v>102</v>
      </c>
      <c r="I7" s="41" t="n">
        <v>2</v>
      </c>
      <c r="J7" s="42" t="s">
        <v>96</v>
      </c>
      <c r="K7" s="42"/>
      <c r="L7" s="43"/>
    </row>
    <row r="8" customFormat="false" ht="57.75" hidden="false" customHeight="true" outlineLevel="0" collapsed="false">
      <c r="A8" s="49" t="n">
        <v>4</v>
      </c>
      <c r="B8" s="49" t="n">
        <f aca="false">IFERROR(ROUNDUP(A8/'Schedule Planner'!$B$8,0),"")</f>
        <v>4</v>
      </c>
      <c r="C8" s="50" t="n">
        <f aca="false">IFERROR(INDEX('Schedule Planner'!$K$5:$K$504,MATCH(B8,'Schedule Planner'!$M$5:$M$504,0)),"Set training days")</f>
        <v>46289</v>
      </c>
      <c r="D8" s="51" t="n">
        <f aca="false">IF(ISNUMBER(C8),C8,"")</f>
        <v>46289</v>
      </c>
      <c r="E8" s="52" t="s">
        <v>22</v>
      </c>
      <c r="F8" s="53" t="s">
        <v>103</v>
      </c>
      <c r="G8" s="52" t="s">
        <v>104</v>
      </c>
      <c r="H8" s="52" t="s">
        <v>105</v>
      </c>
      <c r="I8" s="41" t="n">
        <v>2</v>
      </c>
      <c r="J8" s="42" t="s">
        <v>96</v>
      </c>
      <c r="K8" s="42"/>
      <c r="L8" s="43"/>
    </row>
    <row r="9" customFormat="false" ht="15" hidden="false" customHeight="false" outlineLevel="0" collapsed="false">
      <c r="A9" s="54" t="s">
        <v>106</v>
      </c>
      <c r="B9" s="54"/>
      <c r="C9" s="54"/>
      <c r="D9" s="54"/>
      <c r="E9" s="54"/>
      <c r="F9" s="54"/>
      <c r="G9" s="54"/>
      <c r="H9" s="54"/>
      <c r="I9" s="55" t="n">
        <f aca="false">SUM(I5:I8)</f>
        <v>8</v>
      </c>
      <c r="J9" s="55" t="str">
        <f aca="false">COUNTIF(J5:J8,"Completed")&amp;" / "&amp;COUNTA(J5:J8)</f>
        <v>0 / 4</v>
      </c>
      <c r="K9" s="55" t="n">
        <f aca="false">SUM(K5:K8)</f>
        <v>0</v>
      </c>
      <c r="L9" s="54"/>
    </row>
  </sheetData>
  <autoFilter ref="A4:L8"/>
  <conditionalFormatting sqref="J5:J8">
    <cfRule type="cellIs" priority="2" operator="equal" aboveAverage="0" equalAverage="0" bottom="0" percent="0" rank="0" text="" dxfId="8">
      <formula>"Completed"</formula>
    </cfRule>
    <cfRule type="cellIs" priority="3" operator="equal" aboveAverage="0" equalAverage="0" bottom="0" percent="0" rank="0" text="" dxfId="9">
      <formula>"In Progress"</formula>
    </cfRule>
  </conditionalFormatting>
  <dataValidations count="2">
    <dataValidation allowBlank="false" error="Choose Not Started, In Progress or Completed" errorStyle="stop" operator="between" showDropDown="false" showErrorMessage="true" showInputMessage="false" sqref="J5:J8" type="list">
      <formula1>"Not Started,In Progress,Completed"</formula1>
      <formula2>0</formula2>
    </dataValidation>
    <dataValidation allowBlank="true" error="Enter hours between 0 and 24" errorStyle="stop" operator="between" showDropDown="false" showErrorMessage="true" showInputMessage="false" sqref="K5:K8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62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0" hidden="false" customHeight="true" outlineLevel="0" collapsed="false">
      <c r="A4" s="4" t="s">
        <v>85</v>
      </c>
      <c r="B4" s="4" t="s">
        <v>86</v>
      </c>
      <c r="C4" s="4" t="s">
        <v>61</v>
      </c>
      <c r="D4" s="4" t="s">
        <v>87</v>
      </c>
      <c r="E4" s="4" t="s">
        <v>19</v>
      </c>
      <c r="F4" s="4" t="s">
        <v>88</v>
      </c>
      <c r="G4" s="4" t="s">
        <v>89</v>
      </c>
      <c r="H4" s="4" t="s">
        <v>90</v>
      </c>
      <c r="I4" s="4" t="s">
        <v>6</v>
      </c>
      <c r="J4" s="4" t="s">
        <v>91</v>
      </c>
      <c r="K4" s="4" t="s">
        <v>9</v>
      </c>
      <c r="L4" s="4" t="s">
        <v>92</v>
      </c>
    </row>
    <row r="5" customFormat="false" ht="44.25" hidden="false" customHeight="true" outlineLevel="0" collapsed="false">
      <c r="A5" s="36" t="n">
        <v>1</v>
      </c>
      <c r="B5" s="36" t="n">
        <f aca="false">IFERROR(ROUNDUP(A5/'Schedule Planner'!$B$18,0),"")</f>
        <v>1</v>
      </c>
      <c r="C5" s="37" t="n">
        <f aca="false">IFERROR(INDEX('Schedule Planner'!$N$5:$N$504,MATCH(B5,'Schedule Planner'!$P$5:$P$504,0)),"Set training days")</f>
        <v>46286</v>
      </c>
      <c r="D5" s="38" t="n">
        <f aca="false">IF(ISNUMBER(C5),C5,"")</f>
        <v>46286</v>
      </c>
      <c r="E5" s="39" t="s">
        <v>23</v>
      </c>
      <c r="F5" s="40" t="s">
        <v>109</v>
      </c>
      <c r="G5" s="39" t="s">
        <v>110</v>
      </c>
      <c r="H5" s="39" t="s">
        <v>111</v>
      </c>
      <c r="I5" s="41" t="n">
        <v>2</v>
      </c>
      <c r="J5" s="42" t="s">
        <v>96</v>
      </c>
      <c r="K5" s="42"/>
      <c r="L5" s="43"/>
    </row>
    <row r="6" customFormat="false" ht="44.25" hidden="false" customHeight="true" outlineLevel="0" collapsed="false">
      <c r="A6" s="36" t="n">
        <v>2</v>
      </c>
      <c r="B6" s="36" t="n">
        <f aca="false">IFERROR(ROUNDUP(A6/'Schedule Planner'!$B$18,0),"")</f>
        <v>2</v>
      </c>
      <c r="C6" s="37" t="n">
        <f aca="false">IFERROR(INDEX('Schedule Planner'!$N$5:$N$504,MATCH(B6,'Schedule Planner'!$P$5:$P$504,0)),"Set training days")</f>
        <v>46287</v>
      </c>
      <c r="D6" s="38" t="n">
        <f aca="false">IF(ISNUMBER(C6),C6,"")</f>
        <v>46287</v>
      </c>
      <c r="E6" s="39" t="s">
        <v>23</v>
      </c>
      <c r="F6" s="40" t="s">
        <v>112</v>
      </c>
      <c r="G6" s="39" t="s">
        <v>113</v>
      </c>
      <c r="H6" s="39" t="s">
        <v>114</v>
      </c>
      <c r="I6" s="41" t="n">
        <v>2</v>
      </c>
      <c r="J6" s="42" t="s">
        <v>96</v>
      </c>
      <c r="K6" s="42"/>
      <c r="L6" s="43"/>
    </row>
    <row r="7" customFormat="false" ht="30.75" hidden="false" customHeight="true" outlineLevel="0" collapsed="false">
      <c r="A7" s="36" t="n">
        <v>3</v>
      </c>
      <c r="B7" s="36" t="n">
        <f aca="false">IFERROR(ROUNDUP(A7/'Schedule Planner'!$B$18,0),"")</f>
        <v>3</v>
      </c>
      <c r="C7" s="37" t="n">
        <f aca="false">IFERROR(INDEX('Schedule Planner'!$N$5:$N$504,MATCH(B7,'Schedule Planner'!$P$5:$P$504,0)),"Set training days")</f>
        <v>46288</v>
      </c>
      <c r="D7" s="38" t="n">
        <f aca="false">IF(ISNUMBER(C7),C7,"")</f>
        <v>46288</v>
      </c>
      <c r="E7" s="39" t="s">
        <v>23</v>
      </c>
      <c r="F7" s="40" t="s">
        <v>115</v>
      </c>
      <c r="G7" s="39" t="s">
        <v>116</v>
      </c>
      <c r="H7" s="39" t="s">
        <v>117</v>
      </c>
      <c r="I7" s="41" t="n">
        <v>2</v>
      </c>
      <c r="J7" s="42" t="s">
        <v>96</v>
      </c>
      <c r="K7" s="42"/>
      <c r="L7" s="43"/>
    </row>
    <row r="8" customFormat="false" ht="30.75" hidden="false" customHeight="true" outlineLevel="0" collapsed="false">
      <c r="A8" s="44" t="n">
        <v>4</v>
      </c>
      <c r="B8" s="44" t="n">
        <f aca="false">IFERROR(ROUNDUP(A8/'Schedule Planner'!$B$18,0),"")</f>
        <v>4</v>
      </c>
      <c r="C8" s="45" t="n">
        <f aca="false">IFERROR(INDEX('Schedule Planner'!$N$5:$N$504,MATCH(B8,'Schedule Planner'!$P$5:$P$504,0)),"Set training days")</f>
        <v>46289</v>
      </c>
      <c r="D8" s="46" t="n">
        <f aca="false">IF(ISNUMBER(C8),C8,"")</f>
        <v>46289</v>
      </c>
      <c r="E8" s="47" t="s">
        <v>24</v>
      </c>
      <c r="F8" s="48" t="s">
        <v>118</v>
      </c>
      <c r="G8" s="47" t="s">
        <v>119</v>
      </c>
      <c r="H8" s="47" t="s">
        <v>120</v>
      </c>
      <c r="I8" s="41" t="n">
        <v>2</v>
      </c>
      <c r="J8" s="42" t="s">
        <v>96</v>
      </c>
      <c r="K8" s="42"/>
      <c r="L8" s="43"/>
    </row>
    <row r="9" customFormat="false" ht="30.75" hidden="false" customHeight="true" outlineLevel="0" collapsed="false">
      <c r="A9" s="44" t="n">
        <v>5</v>
      </c>
      <c r="B9" s="44" t="n">
        <f aca="false">IFERROR(ROUNDUP(A9/'Schedule Planner'!$B$18,0),"")</f>
        <v>5</v>
      </c>
      <c r="C9" s="45" t="n">
        <f aca="false">IFERROR(INDEX('Schedule Planner'!$N$5:$N$504,MATCH(B9,'Schedule Planner'!$P$5:$P$504,0)),"Set training days")</f>
        <v>46290</v>
      </c>
      <c r="D9" s="46" t="n">
        <f aca="false">IF(ISNUMBER(C9),C9,"")</f>
        <v>46290</v>
      </c>
      <c r="E9" s="47" t="s">
        <v>24</v>
      </c>
      <c r="F9" s="48" t="s">
        <v>121</v>
      </c>
      <c r="G9" s="47" t="s">
        <v>122</v>
      </c>
      <c r="H9" s="47" t="s">
        <v>123</v>
      </c>
      <c r="I9" s="41" t="n">
        <v>2</v>
      </c>
      <c r="J9" s="42" t="s">
        <v>96</v>
      </c>
      <c r="K9" s="42"/>
      <c r="L9" s="43"/>
    </row>
    <row r="10" customFormat="false" ht="30.75" hidden="false" customHeight="true" outlineLevel="0" collapsed="false">
      <c r="A10" s="44" t="n">
        <v>6</v>
      </c>
      <c r="B10" s="44" t="n">
        <f aca="false">IFERROR(ROUNDUP(A10/'Schedule Planner'!$B$18,0),"")</f>
        <v>6</v>
      </c>
      <c r="C10" s="45" t="n">
        <f aca="false">IFERROR(INDEX('Schedule Planner'!$N$5:$N$504,MATCH(B10,'Schedule Planner'!$P$5:$P$504,0)),"Set training days")</f>
        <v>46293</v>
      </c>
      <c r="D10" s="46" t="n">
        <f aca="false">IF(ISNUMBER(C10),C10,"")</f>
        <v>46293</v>
      </c>
      <c r="E10" s="47" t="s">
        <v>24</v>
      </c>
      <c r="F10" s="48" t="s">
        <v>124</v>
      </c>
      <c r="G10" s="47" t="s">
        <v>125</v>
      </c>
      <c r="H10" s="47" t="s">
        <v>126</v>
      </c>
      <c r="I10" s="41" t="n">
        <v>2</v>
      </c>
      <c r="J10" s="42" t="s">
        <v>96</v>
      </c>
      <c r="K10" s="42"/>
      <c r="L10" s="43"/>
    </row>
    <row r="11" customFormat="false" ht="30.75" hidden="false" customHeight="true" outlineLevel="0" collapsed="false">
      <c r="A11" s="44" t="n">
        <v>7</v>
      </c>
      <c r="B11" s="44" t="n">
        <f aca="false">IFERROR(ROUNDUP(A11/'Schedule Planner'!$B$18,0),"")</f>
        <v>7</v>
      </c>
      <c r="C11" s="45" t="n">
        <f aca="false">IFERROR(INDEX('Schedule Planner'!$N$5:$N$504,MATCH(B11,'Schedule Planner'!$P$5:$P$504,0)),"Set training days")</f>
        <v>46294</v>
      </c>
      <c r="D11" s="46" t="n">
        <f aca="false">IF(ISNUMBER(C11),C11,"")</f>
        <v>46294</v>
      </c>
      <c r="E11" s="47" t="s">
        <v>24</v>
      </c>
      <c r="F11" s="48" t="s">
        <v>127</v>
      </c>
      <c r="G11" s="47" t="s">
        <v>128</v>
      </c>
      <c r="H11" s="47" t="s">
        <v>129</v>
      </c>
      <c r="I11" s="41" t="n">
        <v>2</v>
      </c>
      <c r="J11" s="42" t="s">
        <v>96</v>
      </c>
      <c r="K11" s="42"/>
      <c r="L11" s="43"/>
    </row>
    <row r="12" customFormat="false" ht="71.25" hidden="false" customHeight="true" outlineLevel="0" collapsed="false">
      <c r="A12" s="49" t="n">
        <v>8</v>
      </c>
      <c r="B12" s="49" t="n">
        <f aca="false">IFERROR(ROUNDUP(A12/'Schedule Planner'!$B$18,0),"")</f>
        <v>8</v>
      </c>
      <c r="C12" s="50" t="n">
        <f aca="false">IFERROR(INDEX('Schedule Planner'!$N$5:$N$504,MATCH(B12,'Schedule Planner'!$P$5:$P$504,0)),"Set training days")</f>
        <v>46295</v>
      </c>
      <c r="D12" s="51" t="n">
        <f aca="false">IF(ISNUMBER(C12),C12,"")</f>
        <v>46295</v>
      </c>
      <c r="E12" s="52" t="s">
        <v>25</v>
      </c>
      <c r="F12" s="53" t="s">
        <v>130</v>
      </c>
      <c r="G12" s="52" t="s">
        <v>131</v>
      </c>
      <c r="H12" s="52" t="s">
        <v>132</v>
      </c>
      <c r="I12" s="41" t="n">
        <v>2</v>
      </c>
      <c r="J12" s="42" t="s">
        <v>96</v>
      </c>
      <c r="K12" s="42"/>
      <c r="L12" s="43"/>
    </row>
    <row r="13" customFormat="false" ht="30.75" hidden="false" customHeight="true" outlineLevel="0" collapsed="false">
      <c r="A13" s="49" t="n">
        <v>9</v>
      </c>
      <c r="B13" s="49" t="n">
        <f aca="false">IFERROR(ROUNDUP(A13/'Schedule Planner'!$B$18,0),"")</f>
        <v>9</v>
      </c>
      <c r="C13" s="50" t="n">
        <f aca="false">IFERROR(INDEX('Schedule Planner'!$N$5:$N$504,MATCH(B13,'Schedule Planner'!$P$5:$P$504,0)),"Set training days")</f>
        <v>46296</v>
      </c>
      <c r="D13" s="51" t="n">
        <f aca="false">IF(ISNUMBER(C13),C13,"")</f>
        <v>46296</v>
      </c>
      <c r="E13" s="52" t="s">
        <v>25</v>
      </c>
      <c r="F13" s="53" t="s">
        <v>133</v>
      </c>
      <c r="G13" s="52" t="s">
        <v>134</v>
      </c>
      <c r="H13" s="52" t="s">
        <v>135</v>
      </c>
      <c r="I13" s="41" t="n">
        <v>2</v>
      </c>
      <c r="J13" s="42" t="s">
        <v>96</v>
      </c>
      <c r="K13" s="42"/>
      <c r="L13" s="43"/>
    </row>
    <row r="14" customFormat="false" ht="30.75" hidden="false" customHeight="true" outlineLevel="0" collapsed="false">
      <c r="A14" s="49" t="n">
        <v>10</v>
      </c>
      <c r="B14" s="49" t="n">
        <f aca="false">IFERROR(ROUNDUP(A14/'Schedule Planner'!$B$18,0),"")</f>
        <v>10</v>
      </c>
      <c r="C14" s="50" t="n">
        <f aca="false">IFERROR(INDEX('Schedule Planner'!$N$5:$N$504,MATCH(B14,'Schedule Planner'!$P$5:$P$504,0)),"Set training days")</f>
        <v>46297</v>
      </c>
      <c r="D14" s="51" t="n">
        <f aca="false">IF(ISNUMBER(C14),C14,"")</f>
        <v>46297</v>
      </c>
      <c r="E14" s="52" t="s">
        <v>25</v>
      </c>
      <c r="F14" s="53" t="s">
        <v>136</v>
      </c>
      <c r="G14" s="52" t="s">
        <v>137</v>
      </c>
      <c r="H14" s="52" t="s">
        <v>138</v>
      </c>
      <c r="I14" s="41" t="n">
        <v>2</v>
      </c>
      <c r="J14" s="42" t="s">
        <v>96</v>
      </c>
      <c r="K14" s="42"/>
      <c r="L14" s="43"/>
    </row>
    <row r="15" customFormat="false" ht="30.75" hidden="false" customHeight="true" outlineLevel="0" collapsed="false">
      <c r="A15" s="49" t="n">
        <v>11</v>
      </c>
      <c r="B15" s="49" t="n">
        <f aca="false">IFERROR(ROUNDUP(A15/'Schedule Planner'!$B$18,0),"")</f>
        <v>11</v>
      </c>
      <c r="C15" s="50" t="n">
        <f aca="false">IFERROR(INDEX('Schedule Planner'!$N$5:$N$504,MATCH(B15,'Schedule Planner'!$P$5:$P$504,0)),"Set training days")</f>
        <v>46300</v>
      </c>
      <c r="D15" s="51" t="n">
        <f aca="false">IF(ISNUMBER(C15),C15,"")</f>
        <v>46300</v>
      </c>
      <c r="E15" s="52" t="s">
        <v>25</v>
      </c>
      <c r="F15" s="53" t="s">
        <v>139</v>
      </c>
      <c r="G15" s="52" t="s">
        <v>140</v>
      </c>
      <c r="H15" s="52" t="s">
        <v>141</v>
      </c>
      <c r="I15" s="41" t="n">
        <v>2</v>
      </c>
      <c r="J15" s="42" t="s">
        <v>96</v>
      </c>
      <c r="K15" s="42"/>
      <c r="L15" s="43"/>
    </row>
    <row r="16" customFormat="false" ht="30.75" hidden="false" customHeight="true" outlineLevel="0" collapsed="false">
      <c r="A16" s="56" t="n">
        <v>12</v>
      </c>
      <c r="B16" s="56" t="n">
        <f aca="false">IFERROR(ROUNDUP(A16/'Schedule Planner'!$B$18,0),"")</f>
        <v>12</v>
      </c>
      <c r="C16" s="57" t="n">
        <f aca="false">IFERROR(INDEX('Schedule Planner'!$N$5:$N$504,MATCH(B16,'Schedule Planner'!$P$5:$P$504,0)),"Set training days")</f>
        <v>46301</v>
      </c>
      <c r="D16" s="58" t="n">
        <f aca="false">IF(ISNUMBER(C16),C16,"")</f>
        <v>46301</v>
      </c>
      <c r="E16" s="59" t="s">
        <v>26</v>
      </c>
      <c r="F16" s="60" t="s">
        <v>142</v>
      </c>
      <c r="G16" s="59" t="s">
        <v>143</v>
      </c>
      <c r="H16" s="59" t="s">
        <v>144</v>
      </c>
      <c r="I16" s="41" t="n">
        <v>2</v>
      </c>
      <c r="J16" s="42" t="s">
        <v>96</v>
      </c>
      <c r="K16" s="42"/>
      <c r="L16" s="43"/>
    </row>
    <row r="17" customFormat="false" ht="15" hidden="false" customHeight="false" outlineLevel="0" collapsed="false">
      <c r="A17" s="54" t="s">
        <v>106</v>
      </c>
      <c r="B17" s="54"/>
      <c r="C17" s="54"/>
      <c r="D17" s="54"/>
      <c r="E17" s="54"/>
      <c r="F17" s="54"/>
      <c r="G17" s="54"/>
      <c r="H17" s="54"/>
      <c r="I17" s="55" t="n">
        <f aca="false">SUM(I5:I16)</f>
        <v>24</v>
      </c>
      <c r="J17" s="55" t="str">
        <f aca="false">COUNTIF(J5:J16,"Completed")&amp;" / "&amp;COUNTA(J5:J16)</f>
        <v>0 / 12</v>
      </c>
      <c r="K17" s="55" t="n">
        <f aca="false">SUM(K5:K16)</f>
        <v>0</v>
      </c>
      <c r="L17" s="54"/>
    </row>
  </sheetData>
  <autoFilter ref="A4:L16"/>
  <conditionalFormatting sqref="J5:J16">
    <cfRule type="cellIs" priority="2" operator="equal" aboveAverage="0" equalAverage="0" bottom="0" percent="0" rank="0" text="" dxfId="8">
      <formula>"Completed"</formula>
    </cfRule>
    <cfRule type="cellIs" priority="3" operator="equal" aboveAverage="0" equalAverage="0" bottom="0" percent="0" rank="0" text="" dxfId="9">
      <formula>"In Progress"</formula>
    </cfRule>
  </conditionalFormatting>
  <dataValidations count="2">
    <dataValidation allowBlank="true" error="Enter hours between 0 and 24" errorStyle="stop" operator="between" showDropDown="false" showErrorMessage="true" showInputMessage="false" sqref="K5:K16" type="decimal">
      <formula1>0</formula1>
      <formula2>24</formula2>
    </dataValidation>
    <dataValidation allowBlank="false" error="Choose Not Started, In Progress or Completed" errorStyle="stop" operator="between" showDropDown="false" showErrorMessage="true" showInputMessage="false" sqref="J5:J16" type="list">
      <formula1>"Not Started,In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62"/>
    <col collapsed="false" customWidth="true" hidden="false" outlineLevel="0" max="8" min="8" style="0" width="4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19.7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0" hidden="false" customHeight="true" outlineLevel="0" collapsed="false">
      <c r="A4" s="4" t="s">
        <v>85</v>
      </c>
      <c r="B4" s="4" t="s">
        <v>86</v>
      </c>
      <c r="C4" s="4" t="s">
        <v>61</v>
      </c>
      <c r="D4" s="4" t="s">
        <v>87</v>
      </c>
      <c r="E4" s="4" t="s">
        <v>19</v>
      </c>
      <c r="F4" s="4" t="s">
        <v>88</v>
      </c>
      <c r="G4" s="4" t="s">
        <v>89</v>
      </c>
      <c r="H4" s="4" t="s">
        <v>90</v>
      </c>
      <c r="I4" s="4" t="s">
        <v>6</v>
      </c>
      <c r="J4" s="4" t="s">
        <v>91</v>
      </c>
      <c r="K4" s="4" t="s">
        <v>9</v>
      </c>
      <c r="L4" s="4" t="s">
        <v>92</v>
      </c>
    </row>
    <row r="5" customFormat="false" ht="30.75" hidden="false" customHeight="true" outlineLevel="0" collapsed="false">
      <c r="A5" s="36" t="n">
        <v>1</v>
      </c>
      <c r="B5" s="36" t="n">
        <f aca="false">IFERROR(ROUNDUP(A5/'Schedule Planner'!$B$28,0),"")</f>
        <v>1</v>
      </c>
      <c r="C5" s="37" t="n">
        <f aca="false">IFERROR(INDEX('Schedule Planner'!$Q$5:$Q$504,MATCH(B5,'Schedule Planner'!$S$5:$S$504,0)),"Set training days")</f>
        <v>46286</v>
      </c>
      <c r="D5" s="38" t="n">
        <f aca="false">IF(ISNUMBER(C5),C5,"")</f>
        <v>46286</v>
      </c>
      <c r="E5" s="39" t="s">
        <v>23</v>
      </c>
      <c r="F5" s="40" t="s">
        <v>147</v>
      </c>
      <c r="G5" s="39" t="s">
        <v>148</v>
      </c>
      <c r="H5" s="39" t="s">
        <v>149</v>
      </c>
      <c r="I5" s="41" t="n">
        <v>2</v>
      </c>
      <c r="J5" s="42" t="s">
        <v>96</v>
      </c>
      <c r="K5" s="42"/>
      <c r="L5" s="43"/>
    </row>
    <row r="6" customFormat="false" ht="30.75" hidden="false" customHeight="true" outlineLevel="0" collapsed="false">
      <c r="A6" s="36" t="n">
        <v>2</v>
      </c>
      <c r="B6" s="36" t="n">
        <f aca="false">IFERROR(ROUNDUP(A6/'Schedule Planner'!$B$28,0),"")</f>
        <v>2</v>
      </c>
      <c r="C6" s="37" t="n">
        <f aca="false">IFERROR(INDEX('Schedule Planner'!$Q$5:$Q$504,MATCH(B6,'Schedule Planner'!$S$5:$S$504,0)),"Set training days")</f>
        <v>46287</v>
      </c>
      <c r="D6" s="38" t="n">
        <f aca="false">IF(ISNUMBER(C6),C6,"")</f>
        <v>46287</v>
      </c>
      <c r="E6" s="39" t="s">
        <v>23</v>
      </c>
      <c r="F6" s="40" t="s">
        <v>150</v>
      </c>
      <c r="G6" s="39" t="s">
        <v>151</v>
      </c>
      <c r="H6" s="39" t="s">
        <v>152</v>
      </c>
      <c r="I6" s="41" t="n">
        <v>2</v>
      </c>
      <c r="J6" s="42" t="s">
        <v>96</v>
      </c>
      <c r="K6" s="42"/>
      <c r="L6" s="43"/>
    </row>
    <row r="7" customFormat="false" ht="30.75" hidden="false" customHeight="true" outlineLevel="0" collapsed="false">
      <c r="A7" s="36" t="n">
        <v>3</v>
      </c>
      <c r="B7" s="36" t="n">
        <f aca="false">IFERROR(ROUNDUP(A7/'Schedule Planner'!$B$28,0),"")</f>
        <v>3</v>
      </c>
      <c r="C7" s="37" t="n">
        <f aca="false">IFERROR(INDEX('Schedule Planner'!$Q$5:$Q$504,MATCH(B7,'Schedule Planner'!$S$5:$S$504,0)),"Set training days")</f>
        <v>46288</v>
      </c>
      <c r="D7" s="38" t="n">
        <f aca="false">IF(ISNUMBER(C7),C7,"")</f>
        <v>46288</v>
      </c>
      <c r="E7" s="39" t="s">
        <v>23</v>
      </c>
      <c r="F7" s="40" t="s">
        <v>153</v>
      </c>
      <c r="G7" s="39" t="s">
        <v>154</v>
      </c>
      <c r="H7" s="39" t="s">
        <v>155</v>
      </c>
      <c r="I7" s="41" t="n">
        <v>2</v>
      </c>
      <c r="J7" s="42" t="s">
        <v>96</v>
      </c>
      <c r="K7" s="42"/>
      <c r="L7" s="43"/>
    </row>
    <row r="8" customFormat="false" ht="30.75" hidden="false" customHeight="true" outlineLevel="0" collapsed="false">
      <c r="A8" s="36" t="n">
        <v>4</v>
      </c>
      <c r="B8" s="36" t="n">
        <f aca="false">IFERROR(ROUNDUP(A8/'Schedule Planner'!$B$28,0),"")</f>
        <v>4</v>
      </c>
      <c r="C8" s="37" t="n">
        <f aca="false">IFERROR(INDEX('Schedule Planner'!$Q$5:$Q$504,MATCH(B8,'Schedule Planner'!$S$5:$S$504,0)),"Set training days")</f>
        <v>46289</v>
      </c>
      <c r="D8" s="38" t="n">
        <f aca="false">IF(ISNUMBER(C8),C8,"")</f>
        <v>46289</v>
      </c>
      <c r="E8" s="39" t="s">
        <v>23</v>
      </c>
      <c r="F8" s="40" t="s">
        <v>115</v>
      </c>
      <c r="G8" s="39" t="s">
        <v>156</v>
      </c>
      <c r="H8" s="39" t="s">
        <v>157</v>
      </c>
      <c r="I8" s="41" t="n">
        <v>2</v>
      </c>
      <c r="J8" s="42" t="s">
        <v>96</v>
      </c>
      <c r="K8" s="42"/>
      <c r="L8" s="43"/>
    </row>
    <row r="9" customFormat="false" ht="44.25" hidden="false" customHeight="true" outlineLevel="0" collapsed="false">
      <c r="A9" s="36" t="n">
        <v>5</v>
      </c>
      <c r="B9" s="36" t="n">
        <f aca="false">IFERROR(ROUNDUP(A9/'Schedule Planner'!$B$28,0),"")</f>
        <v>5</v>
      </c>
      <c r="C9" s="37" t="n">
        <f aca="false">IFERROR(INDEX('Schedule Planner'!$Q$5:$Q$504,MATCH(B9,'Schedule Planner'!$S$5:$S$504,0)),"Set training days")</f>
        <v>46290</v>
      </c>
      <c r="D9" s="38" t="n">
        <f aca="false">IF(ISNUMBER(C9),C9,"")</f>
        <v>46290</v>
      </c>
      <c r="E9" s="39" t="s">
        <v>23</v>
      </c>
      <c r="F9" s="40" t="s">
        <v>158</v>
      </c>
      <c r="G9" s="39" t="s">
        <v>159</v>
      </c>
      <c r="H9" s="39" t="s">
        <v>160</v>
      </c>
      <c r="I9" s="41" t="n">
        <v>2</v>
      </c>
      <c r="J9" s="42" t="s">
        <v>96</v>
      </c>
      <c r="K9" s="42"/>
      <c r="L9" s="43"/>
    </row>
    <row r="10" customFormat="false" ht="44.25" hidden="false" customHeight="true" outlineLevel="0" collapsed="false">
      <c r="A10" s="36" t="n">
        <v>6</v>
      </c>
      <c r="B10" s="36" t="n">
        <f aca="false">IFERROR(ROUNDUP(A10/'Schedule Planner'!$B$28,0),"")</f>
        <v>6</v>
      </c>
      <c r="C10" s="37" t="n">
        <f aca="false">IFERROR(INDEX('Schedule Planner'!$Q$5:$Q$504,MATCH(B10,'Schedule Planner'!$S$5:$S$504,0)),"Set training days")</f>
        <v>46293</v>
      </c>
      <c r="D10" s="38" t="n">
        <f aca="false">IF(ISNUMBER(C10),C10,"")</f>
        <v>46293</v>
      </c>
      <c r="E10" s="39" t="s">
        <v>23</v>
      </c>
      <c r="F10" s="40" t="s">
        <v>161</v>
      </c>
      <c r="G10" s="39" t="s">
        <v>162</v>
      </c>
      <c r="H10" s="39" t="s">
        <v>163</v>
      </c>
      <c r="I10" s="41" t="n">
        <v>2</v>
      </c>
      <c r="J10" s="42" t="s">
        <v>96</v>
      </c>
      <c r="K10" s="42"/>
      <c r="L10" s="43"/>
    </row>
    <row r="11" customFormat="false" ht="30.75" hidden="false" customHeight="true" outlineLevel="0" collapsed="false">
      <c r="A11" s="36" t="n">
        <v>7</v>
      </c>
      <c r="B11" s="36" t="n">
        <f aca="false">IFERROR(ROUNDUP(A11/'Schedule Planner'!$B$28,0),"")</f>
        <v>7</v>
      </c>
      <c r="C11" s="37" t="n">
        <f aca="false">IFERROR(INDEX('Schedule Planner'!$Q$5:$Q$504,MATCH(B11,'Schedule Planner'!$S$5:$S$504,0)),"Set training days")</f>
        <v>46294</v>
      </c>
      <c r="D11" s="38" t="n">
        <f aca="false">IF(ISNUMBER(C11),C11,"")</f>
        <v>46294</v>
      </c>
      <c r="E11" s="39" t="s">
        <v>23</v>
      </c>
      <c r="F11" s="40" t="s">
        <v>164</v>
      </c>
      <c r="G11" s="39" t="s">
        <v>165</v>
      </c>
      <c r="H11" s="39" t="s">
        <v>166</v>
      </c>
      <c r="I11" s="41" t="n">
        <v>2</v>
      </c>
      <c r="J11" s="42" t="s">
        <v>96</v>
      </c>
      <c r="K11" s="42"/>
      <c r="L11" s="43"/>
    </row>
    <row r="12" customFormat="false" ht="30.75" hidden="false" customHeight="true" outlineLevel="0" collapsed="false">
      <c r="A12" s="44" t="n">
        <v>8</v>
      </c>
      <c r="B12" s="44" t="n">
        <f aca="false">IFERROR(ROUNDUP(A12/'Schedule Planner'!$B$28,0),"")</f>
        <v>8</v>
      </c>
      <c r="C12" s="45" t="n">
        <f aca="false">IFERROR(INDEX('Schedule Planner'!$Q$5:$Q$504,MATCH(B12,'Schedule Planner'!$S$5:$S$504,0)),"Set training days")</f>
        <v>46295</v>
      </c>
      <c r="D12" s="46" t="n">
        <f aca="false">IF(ISNUMBER(C12),C12,"")</f>
        <v>46295</v>
      </c>
      <c r="E12" s="47" t="s">
        <v>27</v>
      </c>
      <c r="F12" s="48" t="s">
        <v>167</v>
      </c>
      <c r="G12" s="47" t="s">
        <v>168</v>
      </c>
      <c r="H12" s="47" t="s">
        <v>169</v>
      </c>
      <c r="I12" s="41" t="n">
        <v>2</v>
      </c>
      <c r="J12" s="42" t="s">
        <v>96</v>
      </c>
      <c r="K12" s="42"/>
      <c r="L12" s="43"/>
    </row>
    <row r="13" customFormat="false" ht="30.75" hidden="false" customHeight="true" outlineLevel="0" collapsed="false">
      <c r="A13" s="44" t="n">
        <v>9</v>
      </c>
      <c r="B13" s="44" t="n">
        <f aca="false">IFERROR(ROUNDUP(A13/'Schedule Planner'!$B$28,0),"")</f>
        <v>9</v>
      </c>
      <c r="C13" s="45" t="n">
        <f aca="false">IFERROR(INDEX('Schedule Planner'!$Q$5:$Q$504,MATCH(B13,'Schedule Planner'!$S$5:$S$504,0)),"Set training days")</f>
        <v>46296</v>
      </c>
      <c r="D13" s="46" t="n">
        <f aca="false">IF(ISNUMBER(C13),C13,"")</f>
        <v>46296</v>
      </c>
      <c r="E13" s="47" t="s">
        <v>27</v>
      </c>
      <c r="F13" s="48" t="s">
        <v>170</v>
      </c>
      <c r="G13" s="47" t="s">
        <v>171</v>
      </c>
      <c r="H13" s="47" t="s">
        <v>172</v>
      </c>
      <c r="I13" s="41" t="n">
        <v>2</v>
      </c>
      <c r="J13" s="42" t="s">
        <v>96</v>
      </c>
      <c r="K13" s="42"/>
      <c r="L13" s="43"/>
    </row>
    <row r="14" customFormat="false" ht="30.75" hidden="false" customHeight="true" outlineLevel="0" collapsed="false">
      <c r="A14" s="44" t="n">
        <v>10</v>
      </c>
      <c r="B14" s="44" t="n">
        <f aca="false">IFERROR(ROUNDUP(A14/'Schedule Planner'!$B$28,0),"")</f>
        <v>10</v>
      </c>
      <c r="C14" s="45" t="n">
        <f aca="false">IFERROR(INDEX('Schedule Planner'!$Q$5:$Q$504,MATCH(B14,'Schedule Planner'!$S$5:$S$504,0)),"Set training days")</f>
        <v>46297</v>
      </c>
      <c r="D14" s="46" t="n">
        <f aca="false">IF(ISNUMBER(C14),C14,"")</f>
        <v>46297</v>
      </c>
      <c r="E14" s="47" t="s">
        <v>27</v>
      </c>
      <c r="F14" s="48" t="s">
        <v>173</v>
      </c>
      <c r="G14" s="47" t="s">
        <v>174</v>
      </c>
      <c r="H14" s="47" t="s">
        <v>175</v>
      </c>
      <c r="I14" s="41" t="n">
        <v>2</v>
      </c>
      <c r="J14" s="42" t="s">
        <v>96</v>
      </c>
      <c r="K14" s="42"/>
      <c r="L14" s="43"/>
    </row>
    <row r="15" customFormat="false" ht="30.75" hidden="false" customHeight="true" outlineLevel="0" collapsed="false">
      <c r="A15" s="44" t="n">
        <v>11</v>
      </c>
      <c r="B15" s="44" t="n">
        <f aca="false">IFERROR(ROUNDUP(A15/'Schedule Planner'!$B$28,0),"")</f>
        <v>11</v>
      </c>
      <c r="C15" s="45" t="n">
        <f aca="false">IFERROR(INDEX('Schedule Planner'!$Q$5:$Q$504,MATCH(B15,'Schedule Planner'!$S$5:$S$504,0)),"Set training days")</f>
        <v>46300</v>
      </c>
      <c r="D15" s="46" t="n">
        <f aca="false">IF(ISNUMBER(C15),C15,"")</f>
        <v>46300</v>
      </c>
      <c r="E15" s="47" t="s">
        <v>27</v>
      </c>
      <c r="F15" s="48" t="s">
        <v>176</v>
      </c>
      <c r="G15" s="47" t="s">
        <v>177</v>
      </c>
      <c r="H15" s="47" t="s">
        <v>178</v>
      </c>
      <c r="I15" s="41" t="n">
        <v>2</v>
      </c>
      <c r="J15" s="42" t="s">
        <v>96</v>
      </c>
      <c r="K15" s="42"/>
      <c r="L15" s="43"/>
    </row>
    <row r="16" customFormat="false" ht="30.75" hidden="false" customHeight="true" outlineLevel="0" collapsed="false">
      <c r="A16" s="44" t="n">
        <v>12</v>
      </c>
      <c r="B16" s="44" t="n">
        <f aca="false">IFERROR(ROUNDUP(A16/'Schedule Planner'!$B$28,0),"")</f>
        <v>12</v>
      </c>
      <c r="C16" s="45" t="n">
        <f aca="false">IFERROR(INDEX('Schedule Planner'!$Q$5:$Q$504,MATCH(B16,'Schedule Planner'!$S$5:$S$504,0)),"Set training days")</f>
        <v>46301</v>
      </c>
      <c r="D16" s="46" t="n">
        <f aca="false">IF(ISNUMBER(C16),C16,"")</f>
        <v>46301</v>
      </c>
      <c r="E16" s="47" t="s">
        <v>27</v>
      </c>
      <c r="F16" s="48" t="s">
        <v>179</v>
      </c>
      <c r="G16" s="47" t="s">
        <v>180</v>
      </c>
      <c r="H16" s="47" t="s">
        <v>181</v>
      </c>
      <c r="I16" s="41" t="n">
        <v>2</v>
      </c>
      <c r="J16" s="42" t="s">
        <v>96</v>
      </c>
      <c r="K16" s="42"/>
      <c r="L16" s="43"/>
    </row>
    <row r="17" customFormat="false" ht="30.75" hidden="false" customHeight="true" outlineLevel="0" collapsed="false">
      <c r="A17" s="44" t="n">
        <v>13</v>
      </c>
      <c r="B17" s="44" t="n">
        <f aca="false">IFERROR(ROUNDUP(A17/'Schedule Planner'!$B$28,0),"")</f>
        <v>13</v>
      </c>
      <c r="C17" s="45" t="n">
        <f aca="false">IFERROR(INDEX('Schedule Planner'!$Q$5:$Q$504,MATCH(B17,'Schedule Planner'!$S$5:$S$504,0)),"Set training days")</f>
        <v>46302</v>
      </c>
      <c r="D17" s="46" t="n">
        <f aca="false">IF(ISNUMBER(C17),C17,"")</f>
        <v>46302</v>
      </c>
      <c r="E17" s="47" t="s">
        <v>27</v>
      </c>
      <c r="F17" s="48" t="s">
        <v>182</v>
      </c>
      <c r="G17" s="47" t="s">
        <v>183</v>
      </c>
      <c r="H17" s="47" t="s">
        <v>184</v>
      </c>
      <c r="I17" s="41" t="n">
        <v>2</v>
      </c>
      <c r="J17" s="42" t="s">
        <v>96</v>
      </c>
      <c r="K17" s="42"/>
      <c r="L17" s="43"/>
    </row>
    <row r="18" customFormat="false" ht="30.75" hidden="false" customHeight="true" outlineLevel="0" collapsed="false">
      <c r="A18" s="44" t="n">
        <v>14</v>
      </c>
      <c r="B18" s="44" t="n">
        <f aca="false">IFERROR(ROUNDUP(A18/'Schedule Planner'!$B$28,0),"")</f>
        <v>14</v>
      </c>
      <c r="C18" s="45" t="n">
        <f aca="false">IFERROR(INDEX('Schedule Planner'!$Q$5:$Q$504,MATCH(B18,'Schedule Planner'!$S$5:$S$504,0)),"Set training days")</f>
        <v>46303</v>
      </c>
      <c r="D18" s="46" t="n">
        <f aca="false">IF(ISNUMBER(C18),C18,"")</f>
        <v>46303</v>
      </c>
      <c r="E18" s="47" t="s">
        <v>27</v>
      </c>
      <c r="F18" s="48" t="s">
        <v>185</v>
      </c>
      <c r="G18" s="47" t="s">
        <v>186</v>
      </c>
      <c r="H18" s="47" t="s">
        <v>187</v>
      </c>
      <c r="I18" s="41" t="n">
        <v>2</v>
      </c>
      <c r="J18" s="42" t="s">
        <v>96</v>
      </c>
      <c r="K18" s="42"/>
      <c r="L18" s="43"/>
    </row>
    <row r="19" customFormat="false" ht="30.75" hidden="false" customHeight="true" outlineLevel="0" collapsed="false">
      <c r="A19" s="44" t="n">
        <v>15</v>
      </c>
      <c r="B19" s="44" t="n">
        <f aca="false">IFERROR(ROUNDUP(A19/'Schedule Planner'!$B$28,0),"")</f>
        <v>15</v>
      </c>
      <c r="C19" s="45" t="n">
        <f aca="false">IFERROR(INDEX('Schedule Planner'!$Q$5:$Q$504,MATCH(B19,'Schedule Planner'!$S$5:$S$504,0)),"Set training days")</f>
        <v>46304</v>
      </c>
      <c r="D19" s="46" t="n">
        <f aca="false">IF(ISNUMBER(C19),C19,"")</f>
        <v>46304</v>
      </c>
      <c r="E19" s="47" t="s">
        <v>27</v>
      </c>
      <c r="F19" s="48" t="s">
        <v>188</v>
      </c>
      <c r="G19" s="47" t="s">
        <v>189</v>
      </c>
      <c r="H19" s="47" t="s">
        <v>190</v>
      </c>
      <c r="I19" s="41" t="n">
        <v>2</v>
      </c>
      <c r="J19" s="42" t="s">
        <v>96</v>
      </c>
      <c r="K19" s="42"/>
      <c r="L19" s="43"/>
    </row>
    <row r="20" customFormat="false" ht="30.75" hidden="false" customHeight="true" outlineLevel="0" collapsed="false">
      <c r="A20" s="44" t="n">
        <v>16</v>
      </c>
      <c r="B20" s="44" t="n">
        <f aca="false">IFERROR(ROUNDUP(A20/'Schedule Planner'!$B$28,0),"")</f>
        <v>16</v>
      </c>
      <c r="C20" s="45" t="n">
        <f aca="false">IFERROR(INDEX('Schedule Planner'!$Q$5:$Q$504,MATCH(B20,'Schedule Planner'!$S$5:$S$504,0)),"Set training days")</f>
        <v>46307</v>
      </c>
      <c r="D20" s="46" t="n">
        <f aca="false">IF(ISNUMBER(C20),C20,"")</f>
        <v>46307</v>
      </c>
      <c r="E20" s="47" t="s">
        <v>27</v>
      </c>
      <c r="F20" s="48" t="s">
        <v>191</v>
      </c>
      <c r="G20" s="47" t="s">
        <v>192</v>
      </c>
      <c r="H20" s="47" t="s">
        <v>193</v>
      </c>
      <c r="I20" s="41" t="n">
        <v>2</v>
      </c>
      <c r="J20" s="42" t="s">
        <v>96</v>
      </c>
      <c r="K20" s="42"/>
      <c r="L20" s="43"/>
    </row>
    <row r="21" customFormat="false" ht="71.25" hidden="false" customHeight="true" outlineLevel="0" collapsed="false">
      <c r="A21" s="49" t="n">
        <v>17</v>
      </c>
      <c r="B21" s="49" t="n">
        <f aca="false">IFERROR(ROUNDUP(A21/'Schedule Planner'!$B$28,0),"")</f>
        <v>17</v>
      </c>
      <c r="C21" s="50" t="n">
        <f aca="false">IFERROR(INDEX('Schedule Planner'!$Q$5:$Q$504,MATCH(B21,'Schedule Planner'!$S$5:$S$504,0)),"Set training days")</f>
        <v>46308</v>
      </c>
      <c r="D21" s="51" t="n">
        <f aca="false">IF(ISNUMBER(C21),C21,"")</f>
        <v>46308</v>
      </c>
      <c r="E21" s="52" t="s">
        <v>25</v>
      </c>
      <c r="F21" s="53" t="s">
        <v>130</v>
      </c>
      <c r="G21" s="52" t="s">
        <v>131</v>
      </c>
      <c r="H21" s="52" t="s">
        <v>132</v>
      </c>
      <c r="I21" s="41" t="n">
        <v>2</v>
      </c>
      <c r="J21" s="42" t="s">
        <v>96</v>
      </c>
      <c r="K21" s="42"/>
      <c r="L21" s="43"/>
    </row>
    <row r="22" customFormat="false" ht="30.75" hidden="false" customHeight="true" outlineLevel="0" collapsed="false">
      <c r="A22" s="49" t="n">
        <v>18</v>
      </c>
      <c r="B22" s="49" t="n">
        <f aca="false">IFERROR(ROUNDUP(A22/'Schedule Planner'!$B$28,0),"")</f>
        <v>18</v>
      </c>
      <c r="C22" s="50" t="n">
        <f aca="false">IFERROR(INDEX('Schedule Planner'!$Q$5:$Q$504,MATCH(B22,'Schedule Planner'!$S$5:$S$504,0)),"Set training days")</f>
        <v>46309</v>
      </c>
      <c r="D22" s="51" t="n">
        <f aca="false">IF(ISNUMBER(C22),C22,"")</f>
        <v>46309</v>
      </c>
      <c r="E22" s="52" t="s">
        <v>25</v>
      </c>
      <c r="F22" s="53" t="s">
        <v>133</v>
      </c>
      <c r="G22" s="52" t="s">
        <v>194</v>
      </c>
      <c r="H22" s="52" t="s">
        <v>195</v>
      </c>
      <c r="I22" s="41" t="n">
        <v>2</v>
      </c>
      <c r="J22" s="42" t="s">
        <v>96</v>
      </c>
      <c r="K22" s="42"/>
      <c r="L22" s="43"/>
    </row>
    <row r="23" customFormat="false" ht="44.25" hidden="false" customHeight="true" outlineLevel="0" collapsed="false">
      <c r="A23" s="49" t="n">
        <v>19</v>
      </c>
      <c r="B23" s="49" t="n">
        <f aca="false">IFERROR(ROUNDUP(A23/'Schedule Planner'!$B$28,0),"")</f>
        <v>19</v>
      </c>
      <c r="C23" s="50" t="n">
        <f aca="false">IFERROR(INDEX('Schedule Planner'!$Q$5:$Q$504,MATCH(B23,'Schedule Planner'!$S$5:$S$504,0)),"Set training days")</f>
        <v>46310</v>
      </c>
      <c r="D23" s="51" t="n">
        <f aca="false">IF(ISNUMBER(C23),C23,"")</f>
        <v>46310</v>
      </c>
      <c r="E23" s="52" t="s">
        <v>25</v>
      </c>
      <c r="F23" s="53" t="s">
        <v>136</v>
      </c>
      <c r="G23" s="52" t="s">
        <v>196</v>
      </c>
      <c r="H23" s="52" t="s">
        <v>197</v>
      </c>
      <c r="I23" s="41" t="n">
        <v>2</v>
      </c>
      <c r="J23" s="42" t="s">
        <v>96</v>
      </c>
      <c r="K23" s="42"/>
      <c r="L23" s="43"/>
    </row>
    <row r="24" customFormat="false" ht="30.75" hidden="false" customHeight="true" outlineLevel="0" collapsed="false">
      <c r="A24" s="49" t="n">
        <v>20</v>
      </c>
      <c r="B24" s="49" t="n">
        <f aca="false">IFERROR(ROUNDUP(A24/'Schedule Planner'!$B$28,0),"")</f>
        <v>20</v>
      </c>
      <c r="C24" s="50" t="n">
        <f aca="false">IFERROR(INDEX('Schedule Planner'!$Q$5:$Q$504,MATCH(B24,'Schedule Planner'!$S$5:$S$504,0)),"Set training days")</f>
        <v>46311</v>
      </c>
      <c r="D24" s="51" t="n">
        <f aca="false">IF(ISNUMBER(C24),C24,"")</f>
        <v>46311</v>
      </c>
      <c r="E24" s="52" t="s">
        <v>25</v>
      </c>
      <c r="F24" s="53" t="s">
        <v>198</v>
      </c>
      <c r="G24" s="52" t="s">
        <v>199</v>
      </c>
      <c r="H24" s="52" t="s">
        <v>200</v>
      </c>
      <c r="I24" s="41" t="n">
        <v>2</v>
      </c>
      <c r="J24" s="42" t="s">
        <v>96</v>
      </c>
      <c r="K24" s="42"/>
      <c r="L24" s="43"/>
    </row>
    <row r="25" customFormat="false" ht="30.75" hidden="false" customHeight="true" outlineLevel="0" collapsed="false">
      <c r="A25" s="49" t="n">
        <v>21</v>
      </c>
      <c r="B25" s="49" t="n">
        <f aca="false">IFERROR(ROUNDUP(A25/'Schedule Planner'!$B$28,0),"")</f>
        <v>21</v>
      </c>
      <c r="C25" s="50" t="n">
        <f aca="false">IFERROR(INDEX('Schedule Planner'!$Q$5:$Q$504,MATCH(B25,'Schedule Planner'!$S$5:$S$504,0)),"Set training days")</f>
        <v>46314</v>
      </c>
      <c r="D25" s="51" t="n">
        <f aca="false">IF(ISNUMBER(C25),C25,"")</f>
        <v>46314</v>
      </c>
      <c r="E25" s="52" t="s">
        <v>25</v>
      </c>
      <c r="F25" s="53" t="s">
        <v>201</v>
      </c>
      <c r="G25" s="52" t="s">
        <v>202</v>
      </c>
      <c r="H25" s="52" t="s">
        <v>203</v>
      </c>
      <c r="I25" s="41" t="n">
        <v>2</v>
      </c>
      <c r="J25" s="42" t="s">
        <v>96</v>
      </c>
      <c r="K25" s="42"/>
      <c r="L25" s="43"/>
    </row>
    <row r="26" customFormat="false" ht="30.75" hidden="false" customHeight="true" outlineLevel="0" collapsed="false">
      <c r="A26" s="49" t="n">
        <v>22</v>
      </c>
      <c r="B26" s="49" t="n">
        <f aca="false">IFERROR(ROUNDUP(A26/'Schedule Planner'!$B$28,0),"")</f>
        <v>22</v>
      </c>
      <c r="C26" s="50" t="n">
        <f aca="false">IFERROR(INDEX('Schedule Planner'!$Q$5:$Q$504,MATCH(B26,'Schedule Planner'!$S$5:$S$504,0)),"Set training days")</f>
        <v>46315</v>
      </c>
      <c r="D26" s="51" t="n">
        <f aca="false">IF(ISNUMBER(C26),C26,"")</f>
        <v>46315</v>
      </c>
      <c r="E26" s="52" t="s">
        <v>25</v>
      </c>
      <c r="F26" s="53" t="s">
        <v>204</v>
      </c>
      <c r="G26" s="52" t="s">
        <v>205</v>
      </c>
      <c r="H26" s="52" t="s">
        <v>206</v>
      </c>
      <c r="I26" s="41" t="n">
        <v>2</v>
      </c>
      <c r="J26" s="42" t="s">
        <v>96</v>
      </c>
      <c r="K26" s="42"/>
      <c r="L26" s="43"/>
    </row>
    <row r="27" customFormat="false" ht="30.75" hidden="false" customHeight="true" outlineLevel="0" collapsed="false">
      <c r="A27" s="49" t="n">
        <v>23</v>
      </c>
      <c r="B27" s="49" t="n">
        <f aca="false">IFERROR(ROUNDUP(A27/'Schedule Planner'!$B$28,0),"")</f>
        <v>23</v>
      </c>
      <c r="C27" s="50" t="n">
        <f aca="false">IFERROR(INDEX('Schedule Planner'!$Q$5:$Q$504,MATCH(B27,'Schedule Planner'!$S$5:$S$504,0)),"Set training days")</f>
        <v>46316</v>
      </c>
      <c r="D27" s="51" t="n">
        <f aca="false">IF(ISNUMBER(C27),C27,"")</f>
        <v>46316</v>
      </c>
      <c r="E27" s="52" t="s">
        <v>25</v>
      </c>
      <c r="F27" s="53" t="s">
        <v>207</v>
      </c>
      <c r="G27" s="52" t="s">
        <v>208</v>
      </c>
      <c r="H27" s="52" t="s">
        <v>209</v>
      </c>
      <c r="I27" s="41" t="n">
        <v>2</v>
      </c>
      <c r="J27" s="42" t="s">
        <v>96</v>
      </c>
      <c r="K27" s="42"/>
      <c r="L27" s="43"/>
    </row>
    <row r="28" customFormat="false" ht="30.75" hidden="false" customHeight="true" outlineLevel="0" collapsed="false">
      <c r="A28" s="56" t="n">
        <v>24</v>
      </c>
      <c r="B28" s="56" t="n">
        <f aca="false">IFERROR(ROUNDUP(A28/'Schedule Planner'!$B$28,0),"")</f>
        <v>24</v>
      </c>
      <c r="C28" s="57" t="n">
        <f aca="false">IFERROR(INDEX('Schedule Planner'!$Q$5:$Q$504,MATCH(B28,'Schedule Planner'!$S$5:$S$504,0)),"Set training days")</f>
        <v>46317</v>
      </c>
      <c r="D28" s="58" t="n">
        <f aca="false">IF(ISNUMBER(C28),C28,"")</f>
        <v>46317</v>
      </c>
      <c r="E28" s="59" t="s">
        <v>28</v>
      </c>
      <c r="F28" s="60" t="s">
        <v>210</v>
      </c>
      <c r="G28" s="59" t="s">
        <v>211</v>
      </c>
      <c r="H28" s="59" t="s">
        <v>212</v>
      </c>
      <c r="I28" s="41" t="n">
        <v>2</v>
      </c>
      <c r="J28" s="42" t="s">
        <v>96</v>
      </c>
      <c r="K28" s="42"/>
      <c r="L28" s="43"/>
    </row>
    <row r="29" customFormat="false" ht="44.25" hidden="false" customHeight="true" outlineLevel="0" collapsed="false">
      <c r="A29" s="56" t="n">
        <v>25</v>
      </c>
      <c r="B29" s="56" t="n">
        <f aca="false">IFERROR(ROUNDUP(A29/'Schedule Planner'!$B$28,0),"")</f>
        <v>25</v>
      </c>
      <c r="C29" s="57" t="n">
        <f aca="false">IFERROR(INDEX('Schedule Planner'!$Q$5:$Q$504,MATCH(B29,'Schedule Planner'!$S$5:$S$504,0)),"Set training days")</f>
        <v>46318</v>
      </c>
      <c r="D29" s="58" t="n">
        <f aca="false">IF(ISNUMBER(C29),C29,"")</f>
        <v>46318</v>
      </c>
      <c r="E29" s="59" t="s">
        <v>28</v>
      </c>
      <c r="F29" s="60" t="s">
        <v>213</v>
      </c>
      <c r="G29" s="59" t="s">
        <v>214</v>
      </c>
      <c r="H29" s="59" t="s">
        <v>215</v>
      </c>
      <c r="I29" s="41" t="n">
        <v>2</v>
      </c>
      <c r="J29" s="42" t="s">
        <v>96</v>
      </c>
      <c r="K29" s="42"/>
      <c r="L29" s="43"/>
    </row>
    <row r="30" customFormat="false" ht="44.25" hidden="false" customHeight="true" outlineLevel="0" collapsed="false">
      <c r="A30" s="56" t="n">
        <v>26</v>
      </c>
      <c r="B30" s="56" t="n">
        <f aca="false">IFERROR(ROUNDUP(A30/'Schedule Planner'!$B$28,0),"")</f>
        <v>26</v>
      </c>
      <c r="C30" s="57" t="n">
        <f aca="false">IFERROR(INDEX('Schedule Planner'!$Q$5:$Q$504,MATCH(B30,'Schedule Planner'!$S$5:$S$504,0)),"Set training days")</f>
        <v>46321</v>
      </c>
      <c r="D30" s="58" t="n">
        <f aca="false">IF(ISNUMBER(C30),C30,"")</f>
        <v>46321</v>
      </c>
      <c r="E30" s="59" t="s">
        <v>28</v>
      </c>
      <c r="F30" s="60" t="s">
        <v>216</v>
      </c>
      <c r="G30" s="59" t="s">
        <v>217</v>
      </c>
      <c r="H30" s="59" t="s">
        <v>218</v>
      </c>
      <c r="I30" s="41" t="n">
        <v>2</v>
      </c>
      <c r="J30" s="42" t="s">
        <v>96</v>
      </c>
      <c r="K30" s="42"/>
      <c r="L30" s="43"/>
    </row>
    <row r="31" customFormat="false" ht="27.75" hidden="false" customHeight="true" outlineLevel="0" collapsed="false">
      <c r="A31" s="56" t="n">
        <v>27</v>
      </c>
      <c r="B31" s="56" t="n">
        <f aca="false">IFERROR(ROUNDUP(A31/'Schedule Planner'!$B$28,0),"")</f>
        <v>27</v>
      </c>
      <c r="C31" s="57" t="n">
        <f aca="false">IFERROR(INDEX('Schedule Planner'!$Q$5:$Q$504,MATCH(B31,'Schedule Planner'!$S$5:$S$504,0)),"Set training days")</f>
        <v>46322</v>
      </c>
      <c r="D31" s="58" t="n">
        <f aca="false">IF(ISNUMBER(C31),C31,"")</f>
        <v>46322</v>
      </c>
      <c r="E31" s="59" t="s">
        <v>28</v>
      </c>
      <c r="F31" s="60" t="s">
        <v>219</v>
      </c>
      <c r="G31" s="59" t="s">
        <v>208</v>
      </c>
      <c r="H31" s="59" t="s">
        <v>220</v>
      </c>
      <c r="I31" s="41" t="n">
        <v>2</v>
      </c>
      <c r="J31" s="42" t="s">
        <v>96</v>
      </c>
      <c r="K31" s="42"/>
      <c r="L31" s="43"/>
    </row>
    <row r="32" customFormat="false" ht="30.75" hidden="false" customHeight="true" outlineLevel="0" collapsed="false">
      <c r="A32" s="61" t="n">
        <v>28</v>
      </c>
      <c r="B32" s="61" t="n">
        <f aca="false">IFERROR(ROUNDUP(A32/'Schedule Planner'!$B$28,0),"")</f>
        <v>28</v>
      </c>
      <c r="C32" s="62" t="n">
        <f aca="false">IFERROR(INDEX('Schedule Planner'!$Q$5:$Q$504,MATCH(B32,'Schedule Planner'!$S$5:$S$504,0)),"Set training days")</f>
        <v>46323</v>
      </c>
      <c r="D32" s="63" t="n">
        <f aca="false">IF(ISNUMBER(C32),C32,"")</f>
        <v>46323</v>
      </c>
      <c r="E32" s="64" t="s">
        <v>29</v>
      </c>
      <c r="F32" s="65" t="s">
        <v>221</v>
      </c>
      <c r="G32" s="64" t="s">
        <v>222</v>
      </c>
      <c r="H32" s="64" t="s">
        <v>223</v>
      </c>
      <c r="I32" s="41" t="n">
        <v>2</v>
      </c>
      <c r="J32" s="42" t="s">
        <v>96</v>
      </c>
      <c r="K32" s="42"/>
      <c r="L32" s="43"/>
    </row>
    <row r="33" customFormat="false" ht="30.75" hidden="false" customHeight="true" outlineLevel="0" collapsed="false">
      <c r="A33" s="61" t="n">
        <v>29</v>
      </c>
      <c r="B33" s="61" t="n">
        <f aca="false">IFERROR(ROUNDUP(A33/'Schedule Planner'!$B$28,0),"")</f>
        <v>29</v>
      </c>
      <c r="C33" s="62" t="n">
        <f aca="false">IFERROR(INDEX('Schedule Planner'!$Q$5:$Q$504,MATCH(B33,'Schedule Planner'!$S$5:$S$504,0)),"Set training days")</f>
        <v>46324</v>
      </c>
      <c r="D33" s="63" t="n">
        <f aca="false">IF(ISNUMBER(C33),C33,"")</f>
        <v>46324</v>
      </c>
      <c r="E33" s="64" t="s">
        <v>29</v>
      </c>
      <c r="F33" s="65" t="s">
        <v>224</v>
      </c>
      <c r="G33" s="64" t="s">
        <v>225</v>
      </c>
      <c r="H33" s="64" t="s">
        <v>226</v>
      </c>
      <c r="I33" s="41" t="n">
        <v>2</v>
      </c>
      <c r="J33" s="42" t="s">
        <v>96</v>
      </c>
      <c r="K33" s="42"/>
      <c r="L33" s="43"/>
    </row>
    <row r="34" customFormat="false" ht="30.75" hidden="false" customHeight="true" outlineLevel="0" collapsed="false">
      <c r="A34" s="61" t="n">
        <v>30</v>
      </c>
      <c r="B34" s="61" t="n">
        <f aca="false">IFERROR(ROUNDUP(A34/'Schedule Planner'!$B$28,0),"")</f>
        <v>30</v>
      </c>
      <c r="C34" s="62" t="n">
        <f aca="false">IFERROR(INDEX('Schedule Planner'!$Q$5:$Q$504,MATCH(B34,'Schedule Planner'!$S$5:$S$504,0)),"Set training days")</f>
        <v>46325</v>
      </c>
      <c r="D34" s="63" t="n">
        <f aca="false">IF(ISNUMBER(C34),C34,"")</f>
        <v>46325</v>
      </c>
      <c r="E34" s="64" t="s">
        <v>29</v>
      </c>
      <c r="F34" s="65" t="s">
        <v>227</v>
      </c>
      <c r="G34" s="64" t="s">
        <v>228</v>
      </c>
      <c r="H34" s="64" t="s">
        <v>229</v>
      </c>
      <c r="I34" s="41" t="n">
        <v>2</v>
      </c>
      <c r="J34" s="42" t="s">
        <v>96</v>
      </c>
      <c r="K34" s="42"/>
      <c r="L34" s="43"/>
    </row>
    <row r="35" customFormat="false" ht="15" hidden="false" customHeight="false" outlineLevel="0" collapsed="false">
      <c r="A35" s="54" t="s">
        <v>106</v>
      </c>
      <c r="B35" s="54"/>
      <c r="C35" s="54"/>
      <c r="D35" s="54"/>
      <c r="E35" s="54"/>
      <c r="F35" s="54"/>
      <c r="G35" s="54"/>
      <c r="H35" s="54"/>
      <c r="I35" s="55" t="n">
        <f aca="false">SUM(I5:I34)</f>
        <v>60</v>
      </c>
      <c r="J35" s="55" t="str">
        <f aca="false">COUNTIF(J5:J34,"Completed")&amp;" / "&amp;COUNTA(J5:J34)</f>
        <v>0 / 30</v>
      </c>
      <c r="K35" s="55" t="n">
        <f aca="false">SUM(K5:K34)</f>
        <v>0</v>
      </c>
      <c r="L35" s="54"/>
    </row>
  </sheetData>
  <autoFilter ref="A4:L34"/>
  <conditionalFormatting sqref="J5:J34">
    <cfRule type="cellIs" priority="2" operator="equal" aboveAverage="0" equalAverage="0" bottom="0" percent="0" rank="0" text="" dxfId="8">
      <formula>"Completed"</formula>
    </cfRule>
    <cfRule type="cellIs" priority="3" operator="equal" aboveAverage="0" equalAverage="0" bottom="0" percent="0" rank="0" text="" dxfId="9">
      <formula>"In Progress"</formula>
    </cfRule>
  </conditionalFormatting>
  <dataValidations count="2">
    <dataValidation allowBlank="true" error="Enter hours between 0 and 24" errorStyle="stop" operator="between" showDropDown="false" showErrorMessage="true" showInputMessage="false" sqref="K5:K34" type="decimal">
      <formula1>0</formula1>
      <formula2>24</formula2>
    </dataValidation>
    <dataValidation allowBlank="false" error="Choose Not Started, In Progress or Completed" errorStyle="stop" operator="between" showDropDown="false" showErrorMessage="true" showInputMessage="false" sqref="J5:J34" type="list">
      <formula1>"Not Started,In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7"/>
    <col collapsed="false" customWidth="true" hidden="false" outlineLevel="0" max="9" min="9" style="0" width="50"/>
  </cols>
  <sheetData>
    <row r="1" customFormat="false" ht="19.7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3" customFormat="false" ht="15" hidden="false" customHeight="false" outlineLevel="0" collapsed="false">
      <c r="A3" s="27" t="s">
        <v>232</v>
      </c>
      <c r="B3" s="66" t="n">
        <v>0.7</v>
      </c>
      <c r="C3" s="2" t="s">
        <v>233</v>
      </c>
    </row>
    <row r="5" customFormat="false" ht="27.75" hidden="false" customHeight="true" outlineLevel="0" collapsed="false">
      <c r="A5" s="4" t="s">
        <v>3</v>
      </c>
      <c r="B5" s="4" t="s">
        <v>234</v>
      </c>
      <c r="C5" s="4" t="s">
        <v>235</v>
      </c>
      <c r="D5" s="4" t="s">
        <v>61</v>
      </c>
      <c r="E5" s="4" t="s">
        <v>236</v>
      </c>
      <c r="F5" s="4" t="s">
        <v>237</v>
      </c>
      <c r="G5" s="4" t="s">
        <v>238</v>
      </c>
      <c r="H5" s="4" t="s">
        <v>239</v>
      </c>
      <c r="I5" s="4" t="s">
        <v>240</v>
      </c>
    </row>
    <row r="6" customFormat="false" ht="24" hidden="false" customHeight="true" outlineLevel="0" collapsed="false">
      <c r="A6" s="67" t="s">
        <v>241</v>
      </c>
      <c r="B6" s="68" t="s">
        <v>242</v>
      </c>
      <c r="C6" s="67" t="n">
        <v>3</v>
      </c>
      <c r="D6" s="69" t="n">
        <v>46296</v>
      </c>
      <c r="E6" s="67" t="n">
        <v>8</v>
      </c>
      <c r="F6" s="67" t="n">
        <v>10</v>
      </c>
      <c r="G6" s="70" t="n">
        <f aca="false">IF(OR(E6="",F6="",F6=0),"",E6/F6)</f>
        <v>0.8</v>
      </c>
      <c r="H6" s="67" t="str">
        <f aca="false">IF(G6="","",IF(G6&gt;=$B$3,"On track","Revisit"))</f>
        <v>On track</v>
      </c>
      <c r="I6" s="68" t="s">
        <v>243</v>
      </c>
    </row>
    <row r="7" customFormat="false" ht="24" hidden="false" customHeight="true" outlineLevel="0" collapsed="false">
      <c r="A7" s="7" t="s">
        <v>244</v>
      </c>
      <c r="B7" s="6" t="s">
        <v>245</v>
      </c>
      <c r="C7" s="7" t="n">
        <v>4</v>
      </c>
      <c r="D7" s="71"/>
      <c r="E7" s="72"/>
      <c r="F7" s="72" t="n">
        <v>10</v>
      </c>
      <c r="G7" s="9" t="str">
        <f aca="false">IF(OR(E7="",F7="",F7=0),"",E7/F7)</f>
        <v/>
      </c>
      <c r="H7" s="73" t="str">
        <f aca="false">IF(G7="","",IF(G7&gt;=$B$3,"On track","Revisit"))</f>
        <v/>
      </c>
      <c r="I7" s="74"/>
    </row>
    <row r="8" customFormat="false" ht="24" hidden="false" customHeight="true" outlineLevel="0" collapsed="false">
      <c r="A8" s="7" t="s">
        <v>246</v>
      </c>
      <c r="B8" s="6" t="s">
        <v>247</v>
      </c>
      <c r="C8" s="7" t="n">
        <v>3</v>
      </c>
      <c r="D8" s="71"/>
      <c r="E8" s="72"/>
      <c r="F8" s="72" t="n">
        <v>10</v>
      </c>
      <c r="G8" s="9" t="str">
        <f aca="false">IF(OR(E8="",F8="",F8=0),"",E8/F8)</f>
        <v/>
      </c>
      <c r="H8" s="73" t="str">
        <f aca="false">IF(G8="","",IF(G8&gt;=$B$3,"On track","Revisit"))</f>
        <v/>
      </c>
      <c r="I8" s="74"/>
    </row>
    <row r="9" customFormat="false" ht="24" hidden="false" customHeight="true" outlineLevel="0" collapsed="false">
      <c r="A9" s="7" t="s">
        <v>246</v>
      </c>
      <c r="B9" s="6" t="s">
        <v>248</v>
      </c>
      <c r="C9" s="7" t="n">
        <v>7</v>
      </c>
      <c r="D9" s="71"/>
      <c r="E9" s="72"/>
      <c r="F9" s="72" t="n">
        <v>15</v>
      </c>
      <c r="G9" s="9" t="str">
        <f aca="false">IF(OR(E9="",F9="",F9=0),"",E9/F9)</f>
        <v/>
      </c>
      <c r="H9" s="73" t="str">
        <f aca="false">IF(G9="","",IF(G9&gt;=$B$3,"On track","Revisit"))</f>
        <v/>
      </c>
      <c r="I9" s="74"/>
    </row>
    <row r="10" customFormat="false" ht="24" hidden="false" customHeight="true" outlineLevel="0" collapsed="false">
      <c r="A10" s="7" t="s">
        <v>246</v>
      </c>
      <c r="B10" s="6" t="s">
        <v>249</v>
      </c>
      <c r="C10" s="7" t="n">
        <v>11</v>
      </c>
      <c r="D10" s="71"/>
      <c r="E10" s="72"/>
      <c r="F10" s="72" t="n">
        <v>15</v>
      </c>
      <c r="G10" s="9" t="str">
        <f aca="false">IF(OR(E10="",F10="",F10=0),"",E10/F10)</f>
        <v/>
      </c>
      <c r="H10" s="73" t="str">
        <f aca="false">IF(G10="","",IF(G10&gt;=$B$3,"On track","Revisit"))</f>
        <v/>
      </c>
      <c r="I10" s="74"/>
    </row>
    <row r="11" customFormat="false" ht="24" hidden="false" customHeight="true" outlineLevel="0" collapsed="false">
      <c r="A11" s="7" t="s">
        <v>246</v>
      </c>
      <c r="B11" s="6" t="s">
        <v>250</v>
      </c>
      <c r="C11" s="7" t="n">
        <v>12</v>
      </c>
      <c r="D11" s="71"/>
      <c r="E11" s="72"/>
      <c r="F11" s="72" t="n">
        <v>20</v>
      </c>
      <c r="G11" s="9" t="str">
        <f aca="false">IF(OR(E11="",F11="",F11=0),"",E11/F11)</f>
        <v/>
      </c>
      <c r="H11" s="73" t="str">
        <f aca="false">IF(G11="","",IF(G11&gt;=$B$3,"On track","Revisit"))</f>
        <v/>
      </c>
      <c r="I11" s="74"/>
    </row>
    <row r="12" customFormat="false" ht="24" hidden="false" customHeight="true" outlineLevel="0" collapsed="false">
      <c r="A12" s="7" t="s">
        <v>251</v>
      </c>
      <c r="B12" s="6" t="s">
        <v>252</v>
      </c>
      <c r="C12" s="7" t="n">
        <v>7</v>
      </c>
      <c r="D12" s="71"/>
      <c r="E12" s="72"/>
      <c r="F12" s="72" t="n">
        <v>20</v>
      </c>
      <c r="G12" s="9" t="str">
        <f aca="false">IF(OR(E12="",F12="",F12=0),"",E12/F12)</f>
        <v/>
      </c>
      <c r="H12" s="73" t="str">
        <f aca="false">IF(G12="","",IF(G12&gt;=$B$3,"On track","Revisit"))</f>
        <v/>
      </c>
      <c r="I12" s="74"/>
    </row>
    <row r="13" customFormat="false" ht="24" hidden="false" customHeight="true" outlineLevel="0" collapsed="false">
      <c r="A13" s="7" t="s">
        <v>251</v>
      </c>
      <c r="B13" s="6" t="s">
        <v>253</v>
      </c>
      <c r="C13" s="7" t="n">
        <v>16</v>
      </c>
      <c r="D13" s="71"/>
      <c r="E13" s="72"/>
      <c r="F13" s="72" t="n">
        <v>25</v>
      </c>
      <c r="G13" s="9" t="str">
        <f aca="false">IF(OR(E13="",F13="",F13=0),"",E13/F13)</f>
        <v/>
      </c>
      <c r="H13" s="73" t="str">
        <f aca="false">IF(G13="","",IF(G13&gt;=$B$3,"On track","Revisit"))</f>
        <v/>
      </c>
      <c r="I13" s="74"/>
    </row>
    <row r="14" customFormat="false" ht="24" hidden="false" customHeight="true" outlineLevel="0" collapsed="false">
      <c r="A14" s="7" t="s">
        <v>251</v>
      </c>
      <c r="B14" s="6" t="s">
        <v>254</v>
      </c>
      <c r="C14" s="7" t="n">
        <v>23</v>
      </c>
      <c r="D14" s="71"/>
      <c r="E14" s="72"/>
      <c r="F14" s="72" t="n">
        <v>20</v>
      </c>
      <c r="G14" s="9" t="str">
        <f aca="false">IF(OR(E14="",F14="",F14=0),"",E14/F14)</f>
        <v/>
      </c>
      <c r="H14" s="73" t="str">
        <f aca="false">IF(G14="","",IF(G14&gt;=$B$3,"On track","Revisit"))</f>
        <v/>
      </c>
      <c r="I14" s="74"/>
    </row>
    <row r="15" customFormat="false" ht="24" hidden="false" customHeight="true" outlineLevel="0" collapsed="false">
      <c r="A15" s="7" t="s">
        <v>251</v>
      </c>
      <c r="B15" s="6" t="s">
        <v>255</v>
      </c>
      <c r="C15" s="7" t="n">
        <v>27</v>
      </c>
      <c r="D15" s="71"/>
      <c r="E15" s="72"/>
      <c r="F15" s="72" t="n">
        <v>20</v>
      </c>
      <c r="G15" s="9" t="str">
        <f aca="false">IF(OR(E15="",F15="",F15=0),"",E15/F15)</f>
        <v/>
      </c>
      <c r="H15" s="73" t="str">
        <f aca="false">IF(G15="","",IF(G15&gt;=$B$3,"On track","Revisit"))</f>
        <v/>
      </c>
      <c r="I15" s="74"/>
    </row>
    <row r="16" customFormat="false" ht="24" hidden="false" customHeight="true" outlineLevel="0" collapsed="false">
      <c r="A16" s="7" t="s">
        <v>251</v>
      </c>
      <c r="B16" s="6" t="s">
        <v>256</v>
      </c>
      <c r="C16" s="7" t="n">
        <v>28</v>
      </c>
      <c r="D16" s="71"/>
      <c r="E16" s="72"/>
      <c r="F16" s="72"/>
      <c r="G16" s="9" t="str">
        <f aca="false">IF(OR(E16="",F16="",F16=0),"",E16/F16)</f>
        <v/>
      </c>
      <c r="H16" s="73" t="str">
        <f aca="false">IF(G16="","",IF(G16&gt;=$B$3,"On track","Revisit"))</f>
        <v/>
      </c>
      <c r="I16" s="74"/>
    </row>
    <row r="17" customFormat="false" ht="24" hidden="false" customHeight="true" outlineLevel="0" collapsed="false">
      <c r="A17" s="7" t="s">
        <v>251</v>
      </c>
      <c r="B17" s="6" t="s">
        <v>257</v>
      </c>
      <c r="C17" s="7" t="n">
        <v>30</v>
      </c>
      <c r="D17" s="71"/>
      <c r="E17" s="72"/>
      <c r="F17" s="72"/>
      <c r="G17" s="9" t="str">
        <f aca="false">IF(OR(E17="",F17="",F17=0),"",E17/F17)</f>
        <v/>
      </c>
      <c r="H17" s="73" t="str">
        <f aca="false">IF(G17="","",IF(G17&gt;=$B$3,"On track","Revisit"))</f>
        <v/>
      </c>
      <c r="I17" s="74"/>
    </row>
  </sheetData>
  <conditionalFormatting sqref="H6:H17">
    <cfRule type="cellIs" priority="2" operator="equal" aboveAverage="0" equalAverage="0" bottom="0" percent="0" rank="0" text="" dxfId="8">
      <formula>"On track"</formula>
    </cfRule>
    <cfRule type="cellIs" priority="3" operator="equal" aboveAverage="0" equalAverage="0" bottom="0" percent="0" rank="0" text="" dxfId="12">
      <formula>"Revisit"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2026-09-20T21:46:44Z</dcterms:created>
  <dc:creator>openpyxl</dc:creator>
  <dc:description/>
  <dc:language>en-US</dc:language>
  <cp:lastModifiedBy/>
  <dcterms:modified xsi:type="dcterms:W3CDTF">2026-09-20T21:46:44Z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